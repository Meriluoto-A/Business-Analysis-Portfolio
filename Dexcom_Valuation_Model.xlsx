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em\Desktop\GITHUB - FINANCE\DEXCOM VALUATION\"/>
    </mc:Choice>
  </mc:AlternateContent>
  <xr:revisionPtr revIDLastSave="0" documentId="8_{4333BBAA-09BC-4D15-854D-8AB64BC42DF9}" xr6:coauthVersionLast="47" xr6:coauthVersionMax="47" xr10:uidLastSave="{00000000-0000-0000-0000-000000000000}"/>
  <bookViews>
    <workbookView xWindow="-108" yWindow="-108" windowWidth="23256" windowHeight="12456" firstSheet="8" activeTab="11" xr2:uid="{93DEEF81-4CED-47AC-8BCA-AECD84FE9AFE}"/>
  </bookViews>
  <sheets>
    <sheet name="Dexcom financial information" sheetId="11" r:id="rId1"/>
    <sheet name="Dexcom financial info + figures" sheetId="7" r:id="rId2"/>
    <sheet name="Valuation assumptions" sheetId="21" r:id="rId3"/>
    <sheet name="Valuation - Base" sheetId="20" r:id="rId4"/>
    <sheet name="Valuation Bear" sheetId="22" r:id="rId5"/>
    <sheet name="Valuation Bull" sheetId="23" r:id="rId6"/>
    <sheet name="Valuation summary" sheetId="13" r:id="rId7"/>
    <sheet name="Sensitivity analysis" sheetId="14" r:id="rId8"/>
    <sheet name="Valuation Multiples" sheetId="24" r:id="rId9"/>
    <sheet name="Market &amp; Industry" sheetId="6" r:id="rId10"/>
    <sheet name="Market Opportunity Analysis" sheetId="16" r:id="rId11"/>
    <sheet name="Conclusions" sheetId="17" r:id="rId12"/>
  </sheets>
  <definedNames>
    <definedName name="_xlchart.v1.0" hidden="1">'Market &amp; Industry'!$K$3:$K$7</definedName>
    <definedName name="_xlchart.v1.1" hidden="1">'Market &amp; Industry'!$L$2</definedName>
    <definedName name="_xlchart.v1.2" hidden="1">'Market &amp; Industry'!$L$3:$L$7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3" i="24" l="1"/>
  <c r="B26" i="24"/>
  <c r="B21" i="24"/>
  <c r="K4" i="24"/>
  <c r="K5" i="24"/>
  <c r="H4" i="24"/>
  <c r="I4" i="24" s="1"/>
  <c r="J4" i="24" s="1"/>
  <c r="H5" i="24"/>
  <c r="I5" i="24" s="1"/>
  <c r="J5" i="24" s="1"/>
  <c r="K3" i="24"/>
  <c r="H3" i="24"/>
  <c r="I3" i="24" s="1"/>
  <c r="J3" i="24" s="1"/>
  <c r="B43" i="20"/>
  <c r="B23" i="23"/>
  <c r="D22" i="23"/>
  <c r="B23" i="22"/>
  <c r="D22" i="22"/>
  <c r="D22" i="20"/>
  <c r="B23" i="20"/>
  <c r="E23" i="20" s="1"/>
  <c r="M6" i="6"/>
  <c r="M7" i="6"/>
  <c r="M4" i="6"/>
  <c r="M5" i="6"/>
  <c r="M3" i="6"/>
  <c r="B28" i="7"/>
  <c r="B27" i="7"/>
  <c r="B26" i="7"/>
  <c r="B25" i="7"/>
  <c r="B24" i="7"/>
  <c r="D22" i="7"/>
  <c r="C22" i="7"/>
  <c r="B22" i="7"/>
  <c r="Q5" i="7"/>
  <c r="S5" i="7"/>
  <c r="R5" i="7"/>
  <c r="P5" i="7"/>
  <c r="O5" i="7"/>
  <c r="T5" i="7"/>
  <c r="B24" i="24" l="1"/>
  <c r="B27" i="24" s="1"/>
  <c r="B28" i="24" s="1"/>
  <c r="B22" i="24"/>
  <c r="B24" i="23"/>
  <c r="E23" i="23"/>
  <c r="D23" i="23"/>
  <c r="F23" i="23" s="1"/>
  <c r="G23" i="23" s="1"/>
  <c r="B24" i="22"/>
  <c r="E23" i="22"/>
  <c r="D23" i="22"/>
  <c r="F23" i="22" s="1"/>
  <c r="G23" i="22" s="1"/>
  <c r="D23" i="20"/>
  <c r="F23" i="20" s="1"/>
  <c r="G23" i="20" s="1"/>
  <c r="B24" i="20"/>
  <c r="C27" i="7"/>
  <c r="D27" i="7"/>
  <c r="E27" i="7"/>
  <c r="F27" i="7"/>
  <c r="C26" i="7"/>
  <c r="D26" i="7"/>
  <c r="E26" i="7"/>
  <c r="F26" i="7"/>
  <c r="G26" i="7"/>
  <c r="C25" i="7"/>
  <c r="C24" i="7"/>
  <c r="D24" i="7"/>
  <c r="E24" i="7"/>
  <c r="F24" i="7"/>
  <c r="C23" i="7"/>
  <c r="D23" i="7"/>
  <c r="E23" i="7"/>
  <c r="F23" i="7"/>
  <c r="B23" i="7"/>
  <c r="C21" i="7"/>
  <c r="B21" i="7"/>
  <c r="E22" i="7"/>
  <c r="F22" i="7"/>
  <c r="D21" i="7"/>
  <c r="E21" i="7"/>
  <c r="F21" i="7"/>
  <c r="G21" i="7"/>
  <c r="E24" i="23" l="1"/>
  <c r="B25" i="23"/>
  <c r="D24" i="23"/>
  <c r="F24" i="23" s="1"/>
  <c r="G24" i="23" s="1"/>
  <c r="D24" i="22"/>
  <c r="E24" i="22"/>
  <c r="B25" i="22"/>
  <c r="E24" i="20"/>
  <c r="B25" i="20"/>
  <c r="D24" i="20"/>
  <c r="F25" i="7"/>
  <c r="F28" i="7" s="1"/>
  <c r="E25" i="7"/>
  <c r="E28" i="7" s="1"/>
  <c r="C28" i="7"/>
  <c r="D25" i="7"/>
  <c r="D28" i="7" s="1"/>
  <c r="D25" i="23" l="1"/>
  <c r="E25" i="23"/>
  <c r="B26" i="23"/>
  <c r="D25" i="22"/>
  <c r="E25" i="22"/>
  <c r="B26" i="22"/>
  <c r="F24" i="22"/>
  <c r="G24" i="22" s="1"/>
  <c r="F24" i="20"/>
  <c r="G24" i="20" s="1"/>
  <c r="B26" i="20"/>
  <c r="D26" i="20" s="1"/>
  <c r="D25" i="20"/>
  <c r="E25" i="20"/>
  <c r="E26" i="23" l="1"/>
  <c r="B27" i="23"/>
  <c r="D26" i="23"/>
  <c r="F26" i="23" s="1"/>
  <c r="G26" i="23" s="1"/>
  <c r="F25" i="23"/>
  <c r="G25" i="23" s="1"/>
  <c r="D26" i="22"/>
  <c r="E26" i="22"/>
  <c r="B27" i="22"/>
  <c r="F25" i="22"/>
  <c r="G25" i="22" s="1"/>
  <c r="E26" i="20"/>
  <c r="B27" i="20"/>
  <c r="B28" i="20" s="1"/>
  <c r="F25" i="20"/>
  <c r="G25" i="20" s="1"/>
  <c r="E27" i="23" l="1"/>
  <c r="B28" i="23"/>
  <c r="D27" i="23"/>
  <c r="D27" i="22"/>
  <c r="E27" i="22"/>
  <c r="B28" i="22"/>
  <c r="F26" i="22"/>
  <c r="G26" i="22" s="1"/>
  <c r="F26" i="20"/>
  <c r="G26" i="20" s="1"/>
  <c r="E27" i="20"/>
  <c r="D27" i="20"/>
  <c r="D28" i="23" l="1"/>
  <c r="E28" i="23"/>
  <c r="B29" i="23"/>
  <c r="F27" i="23"/>
  <c r="G27" i="23" s="1"/>
  <c r="D28" i="22"/>
  <c r="E28" i="22"/>
  <c r="B29" i="22"/>
  <c r="F27" i="22"/>
  <c r="G27" i="22" s="1"/>
  <c r="F27" i="20"/>
  <c r="G27" i="20" s="1"/>
  <c r="E28" i="20"/>
  <c r="B29" i="20"/>
  <c r="D28" i="20"/>
  <c r="D29" i="23" l="1"/>
  <c r="E29" i="23"/>
  <c r="B30" i="23"/>
  <c r="F28" i="23"/>
  <c r="G28" i="23" s="1"/>
  <c r="D29" i="22"/>
  <c r="E29" i="22"/>
  <c r="B30" i="22"/>
  <c r="F28" i="22"/>
  <c r="G28" i="22" s="1"/>
  <c r="F28" i="20"/>
  <c r="G28" i="20" s="1"/>
  <c r="D29" i="20"/>
  <c r="E29" i="20"/>
  <c r="B30" i="20"/>
  <c r="D30" i="23" l="1"/>
  <c r="E30" i="23"/>
  <c r="B31" i="23"/>
  <c r="F29" i="23"/>
  <c r="G29" i="23" s="1"/>
  <c r="D30" i="22"/>
  <c r="E30" i="22"/>
  <c r="B31" i="22"/>
  <c r="F29" i="22"/>
  <c r="G29" i="22" s="1"/>
  <c r="D30" i="20"/>
  <c r="E30" i="20"/>
  <c r="B31" i="20"/>
  <c r="B32" i="20" s="1"/>
  <c r="B33" i="20" s="1"/>
  <c r="F29" i="20"/>
  <c r="G29" i="20" s="1"/>
  <c r="D31" i="23" l="1"/>
  <c r="E31" i="23"/>
  <c r="B32" i="23"/>
  <c r="F30" i="23"/>
  <c r="G30" i="23" s="1"/>
  <c r="D31" i="22"/>
  <c r="E31" i="22"/>
  <c r="B32" i="22"/>
  <c r="F30" i="22"/>
  <c r="G30" i="22" s="1"/>
  <c r="E33" i="20"/>
  <c r="B38" i="20"/>
  <c r="B39" i="20" s="1"/>
  <c r="B40" i="20" s="1"/>
  <c r="B42" i="20" s="1"/>
  <c r="B44" i="20" s="1"/>
  <c r="B41" i="20"/>
  <c r="D31" i="20"/>
  <c r="E31" i="20"/>
  <c r="F30" i="20"/>
  <c r="G30" i="20" s="1"/>
  <c r="D32" i="23" l="1"/>
  <c r="E32" i="23"/>
  <c r="B33" i="23"/>
  <c r="F31" i="23"/>
  <c r="G31" i="23" s="1"/>
  <c r="D32" i="22"/>
  <c r="E32" i="22"/>
  <c r="B33" i="22"/>
  <c r="F31" i="22"/>
  <c r="G31" i="22" s="1"/>
  <c r="D33" i="20"/>
  <c r="F31" i="20"/>
  <c r="G31" i="20" s="1"/>
  <c r="D32" i="20"/>
  <c r="E32" i="20"/>
  <c r="F32" i="23" l="1"/>
  <c r="G32" i="23" s="1"/>
  <c r="G34" i="23" s="1"/>
  <c r="B45" i="23" s="1"/>
  <c r="D33" i="23"/>
  <c r="E33" i="23"/>
  <c r="B38" i="23"/>
  <c r="B39" i="23" s="1"/>
  <c r="B40" i="23" s="1"/>
  <c r="B41" i="23"/>
  <c r="D33" i="22"/>
  <c r="E33" i="22"/>
  <c r="B38" i="22"/>
  <c r="B39" i="22" s="1"/>
  <c r="B40" i="22" s="1"/>
  <c r="B41" i="22"/>
  <c r="F32" i="22"/>
  <c r="G32" i="22" s="1"/>
  <c r="G34" i="22" s="1"/>
  <c r="B45" i="22" s="1"/>
  <c r="F32" i="20"/>
  <c r="G32" i="20" s="1"/>
  <c r="G34" i="20" s="1"/>
  <c r="B45" i="20" s="1"/>
  <c r="B46" i="20" s="1"/>
  <c r="B49" i="20" s="1"/>
  <c r="B51" i="20" s="1"/>
  <c r="B53" i="20" s="1"/>
  <c r="B42" i="23" l="1"/>
  <c r="B43" i="23" s="1"/>
  <c r="B44" i="23" s="1"/>
  <c r="B46" i="23" s="1"/>
  <c r="B49" i="23" s="1"/>
  <c r="B51" i="23" s="1"/>
  <c r="B53" i="23" s="1"/>
  <c r="B42" i="22"/>
  <c r="B43" i="22" s="1"/>
  <c r="B44" i="22" s="1"/>
  <c r="B46" i="22" s="1"/>
  <c r="B49" i="22" s="1"/>
  <c r="B51" i="22" s="1"/>
  <c r="B53" i="22" s="1"/>
</calcChain>
</file>

<file path=xl/sharedStrings.xml><?xml version="1.0" encoding="utf-8"?>
<sst xmlns="http://schemas.openxmlformats.org/spreadsheetml/2006/main" count="885" uniqueCount="504">
  <si>
    <t>Net income</t>
  </si>
  <si>
    <t>Consolidated Statements of Operations</t>
  </si>
  <si>
    <t>Continuous glucose monitoring (prescription)</t>
  </si>
  <si>
    <t>Biosensors</t>
  </si>
  <si>
    <t>Abbott</t>
  </si>
  <si>
    <t>Insulet</t>
  </si>
  <si>
    <t>Cost of sales</t>
  </si>
  <si>
    <t xml:space="preserve">    Gross profit</t>
  </si>
  <si>
    <t>Operating expenses:</t>
  </si>
  <si>
    <t xml:space="preserve">    Selling, general and administratice</t>
  </si>
  <si>
    <t xml:space="preserve">    Total operating expenses</t>
  </si>
  <si>
    <t>Operating income</t>
  </si>
  <si>
    <t>Other income, net</t>
  </si>
  <si>
    <t>Income before income taxes</t>
  </si>
  <si>
    <t>Income tax expense</t>
  </si>
  <si>
    <t>Basic net income per share</t>
  </si>
  <si>
    <t>Shares used to compute basic income per share</t>
  </si>
  <si>
    <t>Diluted net income per share</t>
  </si>
  <si>
    <t>Shares used to compute diluted net income per share</t>
  </si>
  <si>
    <t>Consolidated Balance Sheets</t>
  </si>
  <si>
    <t>Assets</t>
  </si>
  <si>
    <t>Current assets:</t>
  </si>
  <si>
    <t xml:space="preserve">    Cash and cash equivalents</t>
  </si>
  <si>
    <t xml:space="preserve">    Short-term maketable securities</t>
  </si>
  <si>
    <t xml:space="preserve">    Inventory</t>
  </si>
  <si>
    <t xml:space="preserve">    Prepaid and other current assets</t>
  </si>
  <si>
    <t xml:space="preserve">         Total current assets</t>
  </si>
  <si>
    <t>Property and equipment, net</t>
  </si>
  <si>
    <t>Operating lease right-of-use assets</t>
  </si>
  <si>
    <t>Goodwill</t>
  </si>
  <si>
    <t>Intangibles, net</t>
  </si>
  <si>
    <t>Deferref tax assets</t>
  </si>
  <si>
    <t>Other assets</t>
  </si>
  <si>
    <t xml:space="preserve">       Total assets</t>
  </si>
  <si>
    <t xml:space="preserve">Current liabilities: </t>
  </si>
  <si>
    <t xml:space="preserve">      Accounts payable and accrued liabilities</t>
  </si>
  <si>
    <t xml:space="preserve">     Accrued payroll and related expenses</t>
  </si>
  <si>
    <t xml:space="preserve">    Current portion of long-term senior convertible notes</t>
  </si>
  <si>
    <t xml:space="preserve">   Short-term operating lease liabilities</t>
  </si>
  <si>
    <t xml:space="preserve">   Other current liabilities</t>
  </si>
  <si>
    <t xml:space="preserve">     Total current liabilities</t>
  </si>
  <si>
    <t>Long-term senior convertible notes</t>
  </si>
  <si>
    <t>Long-term operating lease liabilities</t>
  </si>
  <si>
    <t>Other long-term liabilities</t>
  </si>
  <si>
    <t xml:space="preserve">        Total liabilities</t>
  </si>
  <si>
    <t>Stockholder´s equity:</t>
  </si>
  <si>
    <t>Commonstock,$0.001parvalue,800.0millionsharesauthorized;410.7
millionand384.8millionsharesissuedandoutstanding,respectively,at
December31,2025;and408.9millionand390.7millionsharesissuedand
outstanding,respectively,atDecember31,2024</t>
  </si>
  <si>
    <t>Additional paid-in capital</t>
  </si>
  <si>
    <t>Accumulated other comprehensive income (loss)</t>
  </si>
  <si>
    <t>Retained earnings</t>
  </si>
  <si>
    <t xml:space="preserve">     Total stockholder´s equity</t>
  </si>
  <si>
    <t xml:space="preserve">     Total liabilities and stockholder´s equity</t>
  </si>
  <si>
    <t>Revenue by sales channel</t>
  </si>
  <si>
    <t>Distributor</t>
  </si>
  <si>
    <t>Direct</t>
  </si>
  <si>
    <t>Total revenue</t>
  </si>
  <si>
    <t>U.S.</t>
  </si>
  <si>
    <t>International</t>
  </si>
  <si>
    <t>Total</t>
  </si>
  <si>
    <t>Properties</t>
  </si>
  <si>
    <t>Location</t>
  </si>
  <si>
    <t>Purpose</t>
  </si>
  <si>
    <t>San Diego, California</t>
  </si>
  <si>
    <t>Mesa, Arizona</t>
  </si>
  <si>
    <t>Penang, Malaysia</t>
  </si>
  <si>
    <t>Athenry, Ireland</t>
  </si>
  <si>
    <t>Corporate HQ</t>
  </si>
  <si>
    <t>Manufacturing</t>
  </si>
  <si>
    <t xml:space="preserve">    Accounts receivable, net</t>
  </si>
  <si>
    <t>Dexcom</t>
  </si>
  <si>
    <t>5 M</t>
  </si>
  <si>
    <t>2,3 M</t>
  </si>
  <si>
    <t>3,5 M</t>
  </si>
  <si>
    <t>8 M</t>
  </si>
  <si>
    <t>Prevalence</t>
  </si>
  <si>
    <t>Occurrence</t>
  </si>
  <si>
    <t>Diabetes Type 1</t>
  </si>
  <si>
    <t>Diabetes Type 2</t>
  </si>
  <si>
    <t>580 M</t>
  </si>
  <si>
    <t>8.4 M</t>
  </si>
  <si>
    <t>People diagnosed</t>
  </si>
  <si>
    <t>People benefitting glucose monitoring</t>
  </si>
  <si>
    <t>590 M</t>
  </si>
  <si>
    <t>~250 M</t>
  </si>
  <si>
    <t>Definition</t>
  </si>
  <si>
    <t>Revenue Growth</t>
  </si>
  <si>
    <t xml:space="preserve">     Research and development</t>
  </si>
  <si>
    <t>EBIT [%]</t>
  </si>
  <si>
    <t>EBIT% =  Operating income (EBIT) / Revenue</t>
  </si>
  <si>
    <t>Revenue Growth [%]</t>
  </si>
  <si>
    <t>Annual revenue growth</t>
  </si>
  <si>
    <t>Number of firms</t>
  </si>
  <si>
    <t>Pre-tax Operating Margin</t>
  </si>
  <si>
    <t>EV/Sales</t>
  </si>
  <si>
    <t>NOPAT</t>
  </si>
  <si>
    <r>
      <t xml:space="preserve">(in </t>
    </r>
    <r>
      <rPr>
        <b/>
        <i/>
        <sz val="11"/>
        <color theme="1"/>
        <rFont val="Aptos Narrow"/>
        <family val="2"/>
        <scheme val="minor"/>
      </rPr>
      <t>millions $</t>
    </r>
    <r>
      <rPr>
        <i/>
        <sz val="11"/>
        <color theme="1"/>
        <rFont val="Aptos Narrow"/>
        <family val="2"/>
        <scheme val="minor"/>
      </rPr>
      <t>, except per share data)</t>
    </r>
  </si>
  <si>
    <t xml:space="preserve">Liabilities and Stockholder´s Equity </t>
  </si>
  <si>
    <t xml:space="preserve">Revenue </t>
  </si>
  <si>
    <t>Company</t>
  </si>
  <si>
    <t>Reinvestment needs = revenue growth / ROC</t>
  </si>
  <si>
    <t>Notes</t>
  </si>
  <si>
    <t>ROC = NOPAT / Invested Capital</t>
  </si>
  <si>
    <t>Tax rate 26%</t>
  </si>
  <si>
    <t>Invested capital = Operating assets – Operating liabilities</t>
  </si>
  <si>
    <t>x</t>
  </si>
  <si>
    <t>Invested capital [M$]</t>
  </si>
  <si>
    <t>NOPAT = EBIT × (1 – tax rate) [M$]</t>
  </si>
  <si>
    <t>Return on Capital (ROC)  [%]</t>
  </si>
  <si>
    <t>52 Week High [ $ ]</t>
  </si>
  <si>
    <t>P/E</t>
  </si>
  <si>
    <t>Operating liabilities [M$]</t>
  </si>
  <si>
    <t>Operating assets [M$]</t>
  </si>
  <si>
    <t>Ressources directly tied to producing goods or delivering services</t>
  </si>
  <si>
    <t>Obligations that arise from normal business activities</t>
  </si>
  <si>
    <t>Reinvestment needs  [%]</t>
  </si>
  <si>
    <t>WACC</t>
  </si>
  <si>
    <t>Consolidated Statement of Cash Flows</t>
  </si>
  <si>
    <r>
      <t xml:space="preserve">(in </t>
    </r>
    <r>
      <rPr>
        <b/>
        <i/>
        <sz val="11"/>
        <color theme="1"/>
        <rFont val="Aptos Narrow"/>
        <family val="2"/>
        <scheme val="minor"/>
      </rPr>
      <t>millions $</t>
    </r>
    <r>
      <rPr>
        <i/>
        <sz val="11"/>
        <color theme="1"/>
        <rFont val="Aptos Narrow"/>
        <family val="2"/>
        <scheme val="minor"/>
      </rPr>
      <t>)</t>
    </r>
  </si>
  <si>
    <t>Operating activities</t>
  </si>
  <si>
    <t>Adjustments to reconcile net income to cash provided by operating activities:</t>
  </si>
  <si>
    <t xml:space="preserve">     Depreciation and amortization</t>
  </si>
  <si>
    <t xml:space="preserve">     Share-based compensation</t>
  </si>
  <si>
    <t xml:space="preserve">    Non-cash interest expense</t>
  </si>
  <si>
    <t xml:space="preserve">    Deferred income taxes</t>
  </si>
  <si>
    <t xml:space="preserve">    Net (gains) losses on equity investments</t>
  </si>
  <si>
    <t xml:space="preserve">    Other non-cash income and expenses</t>
  </si>
  <si>
    <t xml:space="preserve">    Changes in operating assets and liabilities:</t>
  </si>
  <si>
    <t xml:space="preserve">           Accounts receivable, net</t>
  </si>
  <si>
    <t xml:space="preserve">           Inventory</t>
  </si>
  <si>
    <t xml:space="preserve">           Prepaid and other assets</t>
  </si>
  <si>
    <t xml:space="preserve">          Operating lease right-of-use assets and liabilities, net</t>
  </si>
  <si>
    <t xml:space="preserve">          Accounts payable and accrued liabilities</t>
  </si>
  <si>
    <t xml:space="preserve">          Accrued payroll and related expenses</t>
  </si>
  <si>
    <t xml:space="preserve">         Deferred revenue and other liabilities</t>
  </si>
  <si>
    <t xml:space="preserve">      Net cash provided by operating activities</t>
  </si>
  <si>
    <t>Investing activities</t>
  </si>
  <si>
    <t>Purchase of  marketable securities</t>
  </si>
  <si>
    <t>Proceeds from sale and maturity of marketable securities</t>
  </si>
  <si>
    <t>Purchases of property and equipment</t>
  </si>
  <si>
    <t>Purchases of non-marketable equity securities</t>
  </si>
  <si>
    <t>Other investing activities</t>
  </si>
  <si>
    <t xml:space="preserve">   Net cash provided by (used in) investing activities</t>
  </si>
  <si>
    <t>Financing activities</t>
  </si>
  <si>
    <t>Net proceeds from issuance of common stock</t>
  </si>
  <si>
    <t>Purchases of treasury stock</t>
  </si>
  <si>
    <t>Proceeds from issuance of convertible notes, net issuance costs</t>
  </si>
  <si>
    <t>Purchases of capped call transactions</t>
  </si>
  <si>
    <t>Payments of conversions of senior convertible notes</t>
  </si>
  <si>
    <t>Repayments from maturity of senior convertible notes</t>
  </si>
  <si>
    <t>Other financing activities</t>
  </si>
  <si>
    <t xml:space="preserve">     Net cash used in financing activities</t>
  </si>
  <si>
    <t>Effect of exchange rate changes on cash, cash equivalents and restricted cash</t>
  </si>
  <si>
    <t>Increase (decrease) in cash, cash equivalents and restricted cash</t>
  </si>
  <si>
    <t>Cash, cash equivalents and restricted cash, beginning of period</t>
  </si>
  <si>
    <t>Reconciliation of cash, cash equivivalents and restricher cash, aend of period</t>
  </si>
  <si>
    <t>Cash and cash equivalents</t>
  </si>
  <si>
    <t>Restricted cash</t>
  </si>
  <si>
    <t>Total cash, cash equivalents and restrichted cash</t>
  </si>
  <si>
    <t>Treasury stock, at cost; 25.9 million shares at December 31, 2025 and 18.2
million shares at December 31, 2024</t>
  </si>
  <si>
    <t>Common stock, $0.001 par value, 800.0 million share sauthorized;  410.7 million and 384.8 million shares issued and outstanding,  respectively, at December 31, 2025; and 408.9 million and 390.7 million shares issued and outstanding, respectively, at December 31, 2024</t>
  </si>
  <si>
    <t>Treasury stock, at cost; 25.9 million shares at December 31, 2025 and 18.2 million shares at December 31, 2024</t>
  </si>
  <si>
    <t xml:space="preserve">Tax rate used </t>
  </si>
  <si>
    <t>Market Growth</t>
  </si>
  <si>
    <t>Main players</t>
  </si>
  <si>
    <t>Source</t>
  </si>
  <si>
    <t>Global prevalence of Diabetes</t>
  </si>
  <si>
    <t>People living with Diabetes 2025</t>
  </si>
  <si>
    <t>People living with Diabetes 2050</t>
  </si>
  <si>
    <t xml:space="preserve">Market size </t>
  </si>
  <si>
    <t>https://www.grandviewresearch.com/industry-analysis/continuous-glucose-monitoring-market</t>
  </si>
  <si>
    <t>https://www.grandviewresearch.com/industry-analysis/biosensors-market</t>
  </si>
  <si>
    <t>https://www.grandviewresearch.com/industry-analysis/digital-health-market</t>
  </si>
  <si>
    <t xml:space="preserve">Market </t>
  </si>
  <si>
    <t>Money earned from selling products and services</t>
  </si>
  <si>
    <t>Direct costs required to produce the goods or services sold</t>
  </si>
  <si>
    <t>Gross profit = Revenue - Cost of sales</t>
  </si>
  <si>
    <t>Spending of product development, innovation, engineering, testing</t>
  </si>
  <si>
    <t xml:space="preserve">    Selling, general and administrative</t>
  </si>
  <si>
    <t>Sales, marketing, HR, finance, IT, management salaries…</t>
  </si>
  <si>
    <t>EBIT. Operating income = Gross profit − Total operating expenses</t>
  </si>
  <si>
    <t>Not part of core operations. Foreign exchange effects, interest income….</t>
  </si>
  <si>
    <t>Profit before tax</t>
  </si>
  <si>
    <t>Total profit for shareholders. Net income = Income before taxes − Income tax expense</t>
  </si>
  <si>
    <t>Net income divided by basic number of shares outstanding.</t>
  </si>
  <si>
    <t>Actual number of shares currently outstanding</t>
  </si>
  <si>
    <t>x = Included in invested capital</t>
  </si>
  <si>
    <t>Assets that can be converted into cash within 12 months.</t>
  </si>
  <si>
    <t>Money in bank accounts + very short‑term investments (e.g., Treasury bills). Most liquid asset.</t>
  </si>
  <si>
    <t>Investments that can be sold quickly (e.g., corporate bonds, government securities) maturing within a year.</t>
  </si>
  <si>
    <t>Money customers owe the company, minus estimated uncollectible amounts.</t>
  </si>
  <si>
    <t>Goods available for sale or materials used in production.</t>
  </si>
  <si>
    <t>Payments made in advance (insurance, rent) + other short-term items.</t>
  </si>
  <si>
    <t>Sum of all current assets. CURRENT ASSETS: Assets that can be converted into cash within 12 months.</t>
  </si>
  <si>
    <t>LONG-TERM ASSETS: Assets providing value for more than one year. Buildings, machinery, computers, vehicles, minus accumulated depreciation.</t>
  </si>
  <si>
    <t xml:space="preserve"> The value of the right to use leased buildings/equipment under long-term lease contracts.</t>
  </si>
  <si>
    <t>Premium paid when acquiring another company (brand value, customer relationships).</t>
  </si>
  <si>
    <t>Patents, trademarks, software, minus amortization.</t>
  </si>
  <si>
    <t>Future tax savings due to temporary differences or tax losses carried forward.</t>
  </si>
  <si>
    <t>Long-term items not fitting other categories (investments, deposits).</t>
  </si>
  <si>
    <t>Everything the company owns.</t>
  </si>
  <si>
    <t>Obligations due within 12 months.</t>
  </si>
  <si>
    <t>Bills owed to suppliers + expenses incurred but not yet paid.</t>
  </si>
  <si>
    <t>Salaries, bonuses, benefits owed to employees.</t>
  </si>
  <si>
    <t>Part of long-term debt that must be repaid within a year.</t>
  </si>
  <si>
    <t>Lease payments due within a year.</t>
  </si>
  <si>
    <t>Taxes payable, deferred revenue, short-term provisions.</t>
  </si>
  <si>
    <t>Sum of all short-term obligations.</t>
  </si>
  <si>
    <t>Long-term liabilities Obligations due after 12 months. Debt that can convert into shares under certain conditions.</t>
  </si>
  <si>
    <t>Lease payments due after one year.</t>
  </si>
  <si>
    <t>Pension obligations, long-term provisions, deferred revenue.</t>
  </si>
  <si>
    <t>All obligations the company owes.</t>
  </si>
  <si>
    <t>Cash generated from the company’s core business operations</t>
  </si>
  <si>
    <t>Profit after all expenses and taxes. Starting point for operating cash flow.</t>
  </si>
  <si>
    <t>Non‑cash expense that reduces net income but does not use cash. Added back.</t>
  </si>
  <si>
    <t>* https://kpmg.com/dk/en/services/tax/corporate-tax/corporate-tax-rates-table.html</t>
  </si>
  <si>
    <t>g</t>
  </si>
  <si>
    <t>2.0%</t>
  </si>
  <si>
    <t>3.0%</t>
  </si>
  <si>
    <t>Scenario</t>
  </si>
  <si>
    <t>Intrinsic Value</t>
  </si>
  <si>
    <t>Bull</t>
  </si>
  <si>
    <t>Base</t>
  </si>
  <si>
    <t>Bear</t>
  </si>
  <si>
    <t>EBIT margin</t>
  </si>
  <si>
    <t>Sales / capital ratio</t>
  </si>
  <si>
    <t>20% / 8 %</t>
  </si>
  <si>
    <t xml:space="preserve">2.5% </t>
  </si>
  <si>
    <t>Main market</t>
  </si>
  <si>
    <t>Adjacent market</t>
  </si>
  <si>
    <t>Wearable Medical Device</t>
  </si>
  <si>
    <t>https://www.grandviewresearch.com/industry-analysis/wearable-medical-devices-market</t>
  </si>
  <si>
    <t>Dexcom, Inc., Abbott Laboratories, Medtronic</t>
  </si>
  <si>
    <t>Abbott, Medtronic, Dexcom (glucose biosensing), Siemens Healthineers</t>
  </si>
  <si>
    <t>https://www.mordorintelligence.com/industry-reports/diabetes-care-drugs-and-devices-market</t>
  </si>
  <si>
    <t>Real-time glucose monitoring via subcutaneous sensor</t>
  </si>
  <si>
    <t>Biological sensors for glucose, lactate, metabolic markers</t>
  </si>
  <si>
    <t>$32 Bn</t>
  </si>
  <si>
    <t>Wearables incl. CGM, cardiac patches</t>
  </si>
  <si>
    <t>Philips, Boston Scientific, Abbott</t>
  </si>
  <si>
    <t>Diabetes care drugs &amp; medical devices</t>
  </si>
  <si>
    <t>Insulin, GLP-1, pumps, pens, CGM</t>
  </si>
  <si>
    <t>Novo Nordisk, Eli Lilly, Medtronic</t>
  </si>
  <si>
    <t>Digital Health</t>
  </si>
  <si>
    <t>Remote monitoring, telehealth, AI diagnostics</t>
  </si>
  <si>
    <t xml:space="preserve">$54 Bn </t>
  </si>
  <si>
    <t>$130 Bn</t>
  </si>
  <si>
    <t>$347 Bn</t>
  </si>
  <si>
    <t>853 M</t>
  </si>
  <si>
    <t>More than 1 in 4 US healthcare dollars are spent on people with diabetes</t>
  </si>
  <si>
    <t>Greater than 40% of US  adults have prediabetes</t>
  </si>
  <si>
    <t>~$19,750 US average annual expense per person with diabetes</t>
  </si>
  <si>
    <t>EBIT %</t>
  </si>
  <si>
    <t>Revenue [M $]</t>
  </si>
  <si>
    <t>Operating income [M $]</t>
  </si>
  <si>
    <t>Research and development  [M $]</t>
  </si>
  <si>
    <t>Revenue Growth %</t>
  </si>
  <si>
    <t>People who receive treatment</t>
  </si>
  <si>
    <t>People with prediabetes</t>
  </si>
  <si>
    <t>~1.3 B</t>
  </si>
  <si>
    <t>Total market</t>
  </si>
  <si>
    <t>Reachable market</t>
  </si>
  <si>
    <t>Addressable market</t>
  </si>
  <si>
    <t>Future market (Stelo)</t>
  </si>
  <si>
    <t>Dexcom´s realistic CGM potential</t>
  </si>
  <si>
    <t>Regional differences → Reachable market</t>
  </si>
  <si>
    <t>70% of diagnosed</t>
  </si>
  <si>
    <t>Lifestyle changes, insulin, oral medication → Addressable market</t>
  </si>
  <si>
    <t>International Diabetes Federation (IDF) forecast → long-term growth</t>
  </si>
  <si>
    <t>WHO + CDC → Future market (Stelo)</t>
  </si>
  <si>
    <t>People with diabetes who are diagnosed and receiving treatment</t>
  </si>
  <si>
    <t xml:space="preserve">Estimate </t>
  </si>
  <si>
    <t>Abbott Laboratories</t>
  </si>
  <si>
    <t>0,9 M</t>
  </si>
  <si>
    <t>Install Base of Continuous Glucose Monitoring Device</t>
  </si>
  <si>
    <t>Grand View Research - public data</t>
  </si>
  <si>
    <t>Mordor Intelligence - public data</t>
  </si>
  <si>
    <t>2025 financial data</t>
  </si>
  <si>
    <t>Method</t>
  </si>
  <si>
    <t>Enterprise Value (EV) is the total value of a company’s core operations, independent of how it is financed.</t>
  </si>
  <si>
    <t>EV
=
Market Cap
+
Total Debt
−
Cash and Cash Equivalents</t>
  </si>
  <si>
    <t>Market Size Estimate 2025 [$ Bn]</t>
  </si>
  <si>
    <t>Market Size Estimate 2030 [$ Bn]</t>
  </si>
  <si>
    <t>Reinvestment</t>
  </si>
  <si>
    <t>Revenues</t>
  </si>
  <si>
    <t>Cash flow in $ millions</t>
  </si>
  <si>
    <t>Terminal year</t>
  </si>
  <si>
    <t>Operating Revenues</t>
  </si>
  <si>
    <t>FCFF = Free cash flow to firm</t>
  </si>
  <si>
    <t>The Value</t>
  </si>
  <si>
    <t>Narrative</t>
  </si>
  <si>
    <t>Inputs for Valuing Dexcom - Alternative Narratives</t>
  </si>
  <si>
    <t>Base Year (2025)</t>
  </si>
  <si>
    <t>Years 1-5 (2026-2030)</t>
  </si>
  <si>
    <t>Years 6-10 (2031-2040)</t>
  </si>
  <si>
    <t>Stable Growth</t>
  </si>
  <si>
    <t>Story Link</t>
  </si>
  <si>
    <t>15.6%</t>
  </si>
  <si>
    <t>Growing CGM adoption among Type 1 and Type 2 diabetics</t>
  </si>
  <si>
    <t>Operating Margin (%)</t>
  </si>
  <si>
    <t>19.6%</t>
  </si>
  <si>
    <t>19.6% → 25%</t>
  </si>
  <si>
    <t>25% → 30%</t>
  </si>
  <si>
    <t>Tax Rate (%)</t>
  </si>
  <si>
    <t>Sales-to-Capital Ratio</t>
  </si>
  <si>
    <t>Cost of Capital (%)</t>
  </si>
  <si>
    <t>Terminal Growth (g)</t>
  </si>
  <si>
    <t>-</t>
  </si>
  <si>
    <t>The Assumptions</t>
  </si>
  <si>
    <t>Debt</t>
  </si>
  <si>
    <t>Cash</t>
  </si>
  <si>
    <t>Value per Share</t>
  </si>
  <si>
    <t>Equity Value / Shares</t>
  </si>
  <si>
    <t>TV</t>
  </si>
  <si>
    <t>TV=FCFF11​ / (WACC-g)</t>
  </si>
  <si>
    <t>PV(TV) = TV / (1+WACC)^10</t>
  </si>
  <si>
    <t>PV (CF over next 10 years)</t>
  </si>
  <si>
    <t>SUMMA FCFFt / (1+WACC)^t</t>
  </si>
  <si>
    <t>Operating Assets=PV(FCFF)+PV(Terminal Value)</t>
  </si>
  <si>
    <t>Long-term debt + Current portion of debt</t>
  </si>
  <si>
    <t>Cash + short-term investments</t>
  </si>
  <si>
    <t>Equity=Operating Assets−Debt+Cash</t>
  </si>
  <si>
    <t>384.8 million shares issued and outstanding</t>
  </si>
  <si>
    <r>
      <t>Revenue</t>
    </r>
    <r>
      <rPr>
        <vertAlign val="subscript"/>
        <sz val="10"/>
        <color theme="1"/>
        <rFont val="Calibri"/>
        <family val="2"/>
      </rPr>
      <t>11</t>
    </r>
  </si>
  <si>
    <t xml:space="preserve">EBIT year 11 </t>
  </si>
  <si>
    <t>17471 × 30% = 5241</t>
  </si>
  <si>
    <t>5241 × (1−26%) = 3878</t>
  </si>
  <si>
    <r>
      <t>Reinvestment</t>
    </r>
    <r>
      <rPr>
        <vertAlign val="subscript"/>
        <sz val="10"/>
        <color theme="1"/>
        <rFont val="Calibri"/>
        <family val="2"/>
      </rPr>
      <t>11</t>
    </r>
  </si>
  <si>
    <r>
      <rPr>
        <sz val="10"/>
        <color theme="1"/>
        <rFont val="Calibri"/>
        <family val="2"/>
      </rPr>
      <t>FCFF</t>
    </r>
    <r>
      <rPr>
        <vertAlign val="subscript"/>
        <sz val="10"/>
        <color theme="1"/>
        <rFont val="Calibri"/>
        <family val="2"/>
      </rPr>
      <t>11</t>
    </r>
  </si>
  <si>
    <t>PV(Terminal Value)</t>
  </si>
  <si>
    <t>PV(CF)</t>
  </si>
  <si>
    <t>Competitive Pressure (Bear)</t>
  </si>
  <si>
    <t>CGM Becomes Standard of Care (Base)</t>
  </si>
  <si>
    <t>Digital Health Platform (Bull)</t>
  </si>
  <si>
    <t>Driver</t>
  </si>
  <si>
    <t>Revenue Growth (Years 1-5)</t>
  </si>
  <si>
    <t>Target Operating Margin</t>
  </si>
  <si>
    <t>Tax Rate</t>
  </si>
  <si>
    <t>Terminal Growth</t>
  </si>
  <si>
    <t>Abbott gains market share and competition intensifies. The CGM market continues to grow, but at a slower pace than expected. Pricing pressure reduces profitability, and Dexcom struggles to maintain its premium position. Revenue growth slows significantly, and margins remain below management's long-term targets.</t>
  </si>
  <si>
    <t>Continuous Glucose Monitoring (CGM) adoption expands among both Type 1 and Type 2 diabetes patients. Dexcom maintains its strong competitive position and benefits from economies of scale. Revenue growth remains robust, margins gradually improve, and business risk declines as the market matures.</t>
  </si>
  <si>
    <t>Dexcom evolves beyond a CGM device manufacturer into a broader digital health platform. Software, analytics, and data-driven services become increasingly important revenue sources. Adoption accelerates among Type 2 diabetes patients and health-conscious consumers. Higher-margin digital services drive strong profitability and sustained long-term growth.</t>
  </si>
  <si>
    <t>Shares Outstanding (M)</t>
  </si>
  <si>
    <t>Pre-tax Operating Margins</t>
  </si>
  <si>
    <r>
      <rPr>
        <sz val="9"/>
        <color theme="1"/>
        <rFont val="Aptos Narrow"/>
        <family val="2"/>
      </rPr>
      <t>$</t>
    </r>
    <r>
      <rPr>
        <sz val="9"/>
        <color theme="1"/>
        <rFont val="Aptos Narrow"/>
        <family val="2"/>
        <scheme val="minor"/>
      </rPr>
      <t>13.4 Bn</t>
    </r>
  </si>
  <si>
    <r>
      <t xml:space="preserve">Global number </t>
    </r>
    <r>
      <rPr>
        <sz val="9"/>
        <color theme="1"/>
        <rFont val="Aptos Narrow"/>
        <family val="2"/>
      </rPr>
      <t>→ Total market</t>
    </r>
  </si>
  <si>
    <t>Enterprise Value</t>
  </si>
  <si>
    <t>Equity Value</t>
  </si>
  <si>
    <t>Source: Dexcom Annual Reports, 2022–2025</t>
  </si>
  <si>
    <t>Revenue Growth (Years 6-10)</t>
  </si>
  <si>
    <t>Digital Health Ecosystem (Bull)</t>
  </si>
  <si>
    <t>Revenue grows 8% annually over the next 5 years as competition intensifies, declining to 3% as the market matures.</t>
  </si>
  <si>
    <t>Revenue grows 20% annually over the next 5 years as CGM adoption expands, declining to 8% in maturity.</t>
  </si>
  <si>
    <t>Revenue grows 25% annually over the next 5 years as Dexcom expands its platform ecosystem, declining to 12% thereafter.</t>
  </si>
  <si>
    <t>Margins gradually improve to 18%.</t>
  </si>
  <si>
    <t>Margins gradually improve to 30%.</t>
  </si>
  <si>
    <t>Margins gradually improve to 32%.</t>
  </si>
  <si>
    <t>Sales-to-capital ratio of 2.0.</t>
  </si>
  <si>
    <t>Sales-to-capital ratio of 2.2.</t>
  </si>
  <si>
    <t>Sales-to-capital ratio of 2.5.</t>
  </si>
  <si>
    <t>Cost</t>
  </si>
  <si>
    <t>Cost of capital of 9.0%.</t>
  </si>
  <si>
    <t>Cost of capital of 7.0%.</t>
  </si>
  <si>
    <t>Economies of scale and market leadership improve profitability</t>
  </si>
  <si>
    <t>Tax rate remains stable</t>
  </si>
  <si>
    <t>Capital efficiency remains consistent as the business scales</t>
  </si>
  <si>
    <t>Business risk declines as CGM adoption becomes more established</t>
  </si>
  <si>
    <t>Long-term growth supported by global healthcare demand</t>
  </si>
  <si>
    <t>EBIT(1-t) = (Revenues * Operating Marging) *(1-tax rate)</t>
  </si>
  <si>
    <t>SUM</t>
  </si>
  <si>
    <t>17471−17045=426    =&gt;  426/2,2=194</t>
  </si>
  <si>
    <t>FCFF11​=3878−194=3685</t>
  </si>
  <si>
    <t>Cost of capital of 8.0%.</t>
  </si>
  <si>
    <t>Enterprise Value (Value of Operating Assets)</t>
  </si>
  <si>
    <t>Shares Outstanding</t>
  </si>
  <si>
    <t>Intrinsic Value per Share</t>
  </si>
  <si>
    <t>Implied Upside</t>
  </si>
  <si>
    <t>Market Price (27 Oct 2026)</t>
  </si>
  <si>
    <t>19.6% → 18%</t>
  </si>
  <si>
    <t>Margins gradually decline to 18% due to competitive pricing pressure and reduced operating leverage.</t>
  </si>
  <si>
    <t>Intensifying competition and slower CGM adoption limit growth opportunities over time.</t>
  </si>
  <si>
    <t>Pricing pressure and competitive dynamics constrain margin expansion.</t>
  </si>
  <si>
    <t>Additional investment is required to sustain growth in a more competitive market environment.</t>
  </si>
  <si>
    <t>Higher competitive and execution risks result in a higher cost of capital.</t>
  </si>
  <si>
    <t>Long-term growth reflects a mature CGM market with limited expansion opportunities.</t>
  </si>
  <si>
    <t>Implied Downside</t>
  </si>
  <si>
    <t>25% → 32%</t>
  </si>
  <si>
    <t>Rapid global adoption of CGM technology, expansion into broader patient populations, and growth of Dexcom's digital health ecosystem support strong revenue growth.</t>
  </si>
  <si>
    <t>Economies of scale, premium positioning, and increasing contribution from higher-margin digital services drive margin expansion.</t>
  </si>
  <si>
    <t>Improved operating efficiency and scalable platform economics allow growth with relatively lower reinvestment requirements.</t>
  </si>
  <si>
    <t>Market leadership, recurring revenue streams, and broader platform adoption reduce business risk and support a lower cost of capital.</t>
  </si>
  <si>
    <t>Long-term growth is supported by continued innovation, expanding healthcare adoption, and global demand for diabetes management solutions.</t>
  </si>
  <si>
    <t>Price [ $ ] (date 27.10.2026)</t>
  </si>
  <si>
    <t>8% / 3%</t>
  </si>
  <si>
    <t>25% / 12%</t>
  </si>
  <si>
    <t>19,6% -&gt; 30%</t>
  </si>
  <si>
    <t>19,6% -&gt; 18%</t>
  </si>
  <si>
    <t>19,6% -&gt; 32%</t>
  </si>
  <si>
    <t>ROC *</t>
  </si>
  <si>
    <t>* ROC ≈ Growth × Sales−to−Capital</t>
  </si>
  <si>
    <t>Base Case</t>
  </si>
  <si>
    <t>Price [ $ ] (date 26.10.2026)</t>
  </si>
  <si>
    <t xml:space="preserve"> Source link</t>
  </si>
  <si>
    <t>MARKET SIZES</t>
  </si>
  <si>
    <t xml:space="preserve">Market Growth </t>
  </si>
  <si>
    <t>INSTALLED BASE</t>
  </si>
  <si>
    <t>Share Price (28 Oct 2026)</t>
  </si>
  <si>
    <t>Market Cap=Share Price×Shares Outstanding</t>
  </si>
  <si>
    <t>EV=Market Cap+Debt−Cas</t>
  </si>
  <si>
    <t>Shares Outstanding [M]</t>
  </si>
  <si>
    <t>Debt [$M]</t>
  </si>
  <si>
    <t>Cash [$M]</t>
  </si>
  <si>
    <t>Revenue 2025 [$M]</t>
  </si>
  <si>
    <t>Market Cap [$M]</t>
  </si>
  <si>
    <t>Diluted EPS [$]</t>
  </si>
  <si>
    <t>EV  [M$]</t>
  </si>
  <si>
    <t>https://d18rn0p25nwr6d.cloudfront.net/CIK-0001145197/c5bd9e29-b4db-468c-8cad-bb8d3f08960e.pdf</t>
  </si>
  <si>
    <t>https://www.abbott.com/en-us/homepage</t>
  </si>
  <si>
    <t>https://www.insulet.com/</t>
  </si>
  <si>
    <t>Healthcare Products</t>
  </si>
  <si>
    <t>Healthcare Support Services</t>
  </si>
  <si>
    <t>Heathcare Information and Technology</t>
  </si>
  <si>
    <t>Industry Name</t>
  </si>
  <si>
    <t>Price/Sales</t>
  </si>
  <si>
    <t>Net Margin</t>
  </si>
  <si>
    <t>Company specific information</t>
  </si>
  <si>
    <t>Industry Multiples*</t>
  </si>
  <si>
    <t>* https://pages.stern.nyu.edu/~adamodar/New_Home_Page/datacurrent.html</t>
  </si>
  <si>
    <t>* Price and Enterprise Value to Sales Ratios and Margins by Industry Sector</t>
  </si>
  <si>
    <t xml:space="preserve"> =&gt; Dexcom valuation based on Industry multiples</t>
  </si>
  <si>
    <t>Dexcom Revenue * EV/Sales</t>
  </si>
  <si>
    <t>EV / Sales (Health care products multiple)</t>
  </si>
  <si>
    <t>Equity = EV − Debt + Cash</t>
  </si>
  <si>
    <t>Value per share [$]</t>
  </si>
  <si>
    <t>Equity value [M$]</t>
  </si>
  <si>
    <t>EV Dexcom [M$]</t>
  </si>
  <si>
    <t xml:space="preserve">Dexcom EV/Sales </t>
  </si>
  <si>
    <t>Market based EV/Sales of Dexcom</t>
  </si>
  <si>
    <t>Healthcare Products EV/Sales valuation of Dexcom</t>
  </si>
  <si>
    <t xml:space="preserve"> =&gt; Market values Dexcom 34,6% more than typical Heathcare products company</t>
  </si>
  <si>
    <t>Multiples (Industry EV/Sales)</t>
  </si>
  <si>
    <t>13.4 B$</t>
  </si>
  <si>
    <t>54.2 B$</t>
  </si>
  <si>
    <t>16.3 B$</t>
  </si>
  <si>
    <t>4.76x</t>
  </si>
  <si>
    <t>77.4 B$</t>
  </si>
  <si>
    <t>45.4 B$</t>
  </si>
  <si>
    <t>128.8 B$</t>
  </si>
  <si>
    <t>25.8 B$</t>
  </si>
  <si>
    <t>5.31x</t>
  </si>
  <si>
    <t>137.0 B$</t>
  </si>
  <si>
    <t>Scenario 1: Dexcom captures 30% of the CGM market</t>
  </si>
  <si>
    <t>Value</t>
  </si>
  <si>
    <t>Calculation / Source</t>
  </si>
  <si>
    <t>CGM Market 2025</t>
  </si>
  <si>
    <t>Grand View Research</t>
  </si>
  <si>
    <t>2035 Market Size</t>
  </si>
  <si>
    <t>13.4 × (1.15)^10</t>
  </si>
  <si>
    <t>Dexcom Market Share</t>
  </si>
  <si>
    <t>Assumption</t>
  </si>
  <si>
    <t>Revenue Potential</t>
  </si>
  <si>
    <t>54.2 × 30%</t>
  </si>
  <si>
    <t>EV/Sales Multiple</t>
  </si>
  <si>
    <t>Damodaran Healthcare Products median</t>
  </si>
  <si>
    <t>16.3 × 4.76</t>
  </si>
  <si>
    <t>2.0 B$</t>
  </si>
  <si>
    <t>Dexcom 2025 Annual Report</t>
  </si>
  <si>
    <t>1.24 B$</t>
  </si>
  <si>
    <t>78.2 B$</t>
  </si>
  <si>
    <t>EV − Debt + Cash</t>
  </si>
  <si>
    <t>384.8 M</t>
  </si>
  <si>
    <t>203.2 $</t>
  </si>
  <si>
    <t>Equity Value ÷ Shares</t>
  </si>
  <si>
    <t>Scenario 2: Dexcom captures 20% of the combined CGM and Biosensor markets</t>
  </si>
  <si>
    <t>CGM Market</t>
  </si>
  <si>
    <t>Biosensor Market</t>
  </si>
  <si>
    <t>32.0 B$</t>
  </si>
  <si>
    <t>Combined Market 2025</t>
  </si>
  <si>
    <t>CGM + Biosensors</t>
  </si>
  <si>
    <t>Combined Growth</t>
  </si>
  <si>
    <t>Weighted estimate</t>
  </si>
  <si>
    <t>45.4 × (1.11)^10</t>
  </si>
  <si>
    <t>128.8 × 20%</t>
  </si>
  <si>
    <t>Damodaran Healthcare Information &amp; Technology median</t>
  </si>
  <si>
    <t>25.8 × 5.31</t>
  </si>
  <si>
    <t>137.8 B$</t>
  </si>
  <si>
    <t>358.1 $</t>
  </si>
  <si>
    <t>This is a market opportunity analysis rather than a full intrinsic valuation. The purpose is to assess whether the revenue assumptions used in the DCF model are realistic relative to the size of the addressable market.</t>
  </si>
  <si>
    <t xml:space="preserve"> Dexcom captures 30% of the CGM market (which has CAGR: 15%)</t>
  </si>
  <si>
    <t xml:space="preserve"> Dexcom captures 20% of the CGM and Biodensor markets</t>
  </si>
  <si>
    <t>DCF: CGM Becomes Standard of Care (Base)</t>
  </si>
  <si>
    <t>Enterprise Value [M$]</t>
  </si>
  <si>
    <t>Equity Value [M$]</t>
  </si>
  <si>
    <t>Value per stock [$/share]</t>
  </si>
  <si>
    <t>Market Opportunity Evaluation: CGM *</t>
  </si>
  <si>
    <t>Market Opportunity Evaluation: CGM &amp; Biosensors *</t>
  </si>
  <si>
    <t>* Market Opportunity valuations are not intrinsic valuations. They are used to assess whether the revenue assumptions in the DCF model are realistic relative to the estimated addressable market.</t>
  </si>
  <si>
    <t>Market Cap [M$]</t>
  </si>
  <si>
    <t>DFC: Competitive Pressure (Bear)</t>
  </si>
  <si>
    <t>DFC: Digital Health Ecosystem (Bull)</t>
  </si>
  <si>
    <t>Enterprise Value [B$]</t>
  </si>
  <si>
    <t>Equity Value [B$]</t>
  </si>
  <si>
    <t>Market Cap [B$]</t>
  </si>
  <si>
    <t>Parameter</t>
  </si>
  <si>
    <t>Prameter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</si>
</sst>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\ %"/>
  </numFmts>
  <fonts count="2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charset val="1"/>
    </font>
    <font>
      <sz val="11"/>
      <color theme="1"/>
      <name val="Calibri"/>
      <family val="2"/>
    </font>
    <font>
      <sz val="9"/>
      <color theme="1"/>
      <name val="Aptos Narrow"/>
      <family val="2"/>
      <scheme val="minor"/>
    </font>
    <font>
      <sz val="9"/>
      <color theme="1"/>
      <name val="Aptos Narrow"/>
      <family val="2"/>
    </font>
    <font>
      <u/>
      <sz val="9"/>
      <color theme="1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charset val="1"/>
      <scheme val="major"/>
    </font>
    <font>
      <sz val="10"/>
      <color theme="1"/>
      <name val="Aptos"/>
      <family val="2"/>
    </font>
    <font>
      <sz val="10"/>
      <name val="Aptos"/>
      <family val="2"/>
    </font>
    <font>
      <b/>
      <sz val="10"/>
      <color theme="1"/>
      <name val="Aptos"/>
      <family val="2"/>
    </font>
    <font>
      <b/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79998168889431442"/>
        <bgColor theme="1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thin">
        <color indexed="64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/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E6E6E6"/>
      </bottom>
      <diagonal/>
    </border>
    <border>
      <left style="thin">
        <color indexed="64"/>
      </left>
      <right style="thin">
        <color indexed="64"/>
      </right>
      <top/>
      <bottom style="medium">
        <color rgb="FFE6E6E6"/>
      </bottom>
      <diagonal/>
    </border>
    <border>
      <left style="thin">
        <color indexed="64"/>
      </left>
      <right style="medium">
        <color rgb="FFE6E6E6"/>
      </right>
      <top style="medium">
        <color rgb="FFE6E6E6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thin">
        <color indexed="64"/>
      </bottom>
      <diagonal/>
    </border>
    <border>
      <left style="medium">
        <color rgb="FFE6E6E6"/>
      </left>
      <right style="thin">
        <color indexed="64"/>
      </right>
      <top style="medium">
        <color rgb="FFE6E6E6"/>
      </top>
      <bottom style="thin">
        <color indexed="64"/>
      </bottom>
      <diagonal/>
    </border>
    <border>
      <left style="thin">
        <color indexed="64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thin">
        <color indexed="64"/>
      </right>
      <top/>
      <bottom style="medium">
        <color rgb="FFE6E6E6"/>
      </bottom>
      <diagonal/>
    </border>
    <border>
      <left style="thin">
        <color indexed="64"/>
      </left>
      <right style="medium">
        <color rgb="FFE6E6E6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E6E6E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E6E6E6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E6E6E6"/>
      </bottom>
      <diagonal/>
    </border>
    <border>
      <left/>
      <right/>
      <top style="thin">
        <color indexed="64"/>
      </top>
      <bottom style="medium">
        <color rgb="FFE6E6E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/>
      <diagonal/>
    </border>
    <border>
      <left style="thin">
        <color indexed="64"/>
      </left>
      <right style="medium">
        <color rgb="FFE6E6E6"/>
      </right>
      <top style="thin">
        <color indexed="64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thin">
        <color indexed="64"/>
      </top>
      <bottom style="medium">
        <color rgb="FFE6E6E6"/>
      </bottom>
      <diagonal/>
    </border>
    <border>
      <left style="medium">
        <color rgb="FFE6E6E6"/>
      </left>
      <right style="thin">
        <color indexed="64"/>
      </right>
      <top style="thin">
        <color indexed="64"/>
      </top>
      <bottom style="medium">
        <color rgb="FFE6E6E6"/>
      </bottom>
      <diagonal/>
    </border>
    <border>
      <left style="medium">
        <color indexed="64"/>
      </left>
      <right style="medium">
        <color rgb="FFE6E6E6"/>
      </right>
      <top style="medium">
        <color indexed="64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indexed="64"/>
      </top>
      <bottom style="medium">
        <color rgb="FFE6E6E6"/>
      </bottom>
      <diagonal/>
    </border>
    <border>
      <left style="medium">
        <color rgb="FFE6E6E6"/>
      </left>
      <right style="thin">
        <color indexed="64"/>
      </right>
      <top style="medium">
        <color indexed="64"/>
      </top>
      <bottom style="medium">
        <color rgb="FFE6E6E6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indexed="64"/>
      </right>
      <top style="medium">
        <color rgb="FFE6E6E6"/>
      </top>
      <bottom style="medium">
        <color rgb="FFE6E6E6"/>
      </bottom>
      <diagonal/>
    </border>
    <border>
      <left style="medium">
        <color indexed="64"/>
      </left>
      <right style="medium">
        <color rgb="FFE6E6E6"/>
      </right>
      <top style="medium">
        <color rgb="FFE6E6E6"/>
      </top>
      <bottom style="medium">
        <color indexed="64"/>
      </bottom>
      <diagonal/>
    </border>
    <border>
      <left style="medium">
        <color rgb="FFE6E6E6"/>
      </left>
      <right style="medium">
        <color indexed="64"/>
      </right>
      <top style="medium">
        <color rgb="FFE6E6E6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10" fillId="0" borderId="0" applyNumberFormat="0" applyFill="0" applyBorder="0" applyAlignment="0" applyProtection="0"/>
  </cellStyleXfs>
  <cellXfs count="287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0" borderId="6" xfId="0" applyBorder="1"/>
    <xf numFmtId="0" fontId="0" fillId="0" borderId="0" xfId="0" applyAlignment="1">
      <alignment wrapText="1"/>
    </xf>
    <xf numFmtId="0" fontId="3" fillId="0" borderId="0" xfId="0" applyFont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20" fontId="0" fillId="0" borderId="0" xfId="0" applyNumberFormat="1"/>
    <xf numFmtId="0" fontId="0" fillId="4" borderId="0" xfId="0" applyFill="1"/>
    <xf numFmtId="0" fontId="0" fillId="2" borderId="0" xfId="0" applyFill="1"/>
    <xf numFmtId="0" fontId="0" fillId="0" borderId="7" xfId="0" applyBorder="1"/>
    <xf numFmtId="0" fontId="0" fillId="5" borderId="0" xfId="0" applyFill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7" fillId="2" borderId="0" xfId="0" applyFont="1" applyFill="1"/>
    <xf numFmtId="0" fontId="8" fillId="2" borderId="0" xfId="0" applyFont="1" applyFill="1"/>
    <xf numFmtId="0" fontId="2" fillId="0" borderId="7" xfId="0" applyFont="1" applyBorder="1"/>
    <xf numFmtId="0" fontId="2" fillId="0" borderId="1" xfId="0" applyFont="1" applyBorder="1"/>
    <xf numFmtId="0" fontId="3" fillId="0" borderId="1" xfId="0" applyFont="1" applyBorder="1"/>
    <xf numFmtId="0" fontId="7" fillId="2" borderId="6" xfId="0" applyFont="1" applyFill="1" applyBorder="1"/>
    <xf numFmtId="0" fontId="9" fillId="0" borderId="0" xfId="1" applyFont="1" applyAlignment="1">
      <alignment vertical="center"/>
    </xf>
    <xf numFmtId="164" fontId="0" fillId="0" borderId="0" xfId="0" applyNumberFormat="1"/>
    <xf numFmtId="0" fontId="2" fillId="5" borderId="0" xfId="0" applyFont="1" applyFill="1"/>
    <xf numFmtId="0" fontId="2" fillId="0" borderId="8" xfId="0" applyFont="1" applyBorder="1" applyAlignment="1">
      <alignment horizontal="center" vertical="center"/>
    </xf>
    <xf numFmtId="0" fontId="0" fillId="6" borderId="0" xfId="0" applyFill="1"/>
    <xf numFmtId="0" fontId="3" fillId="6" borderId="0" xfId="0" applyFont="1" applyFill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vertical="center"/>
    </xf>
    <xf numFmtId="0" fontId="0" fillId="6" borderId="2" xfId="0" applyFill="1" applyBorder="1"/>
    <xf numFmtId="2" fontId="0" fillId="2" borderId="2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0" fillId="6" borderId="1" xfId="0" applyFill="1" applyBorder="1" applyAlignment="1">
      <alignment horizontal="center"/>
    </xf>
    <xf numFmtId="164" fontId="0" fillId="4" borderId="0" xfId="0" applyNumberFormat="1" applyFill="1"/>
    <xf numFmtId="1" fontId="0" fillId="4" borderId="0" xfId="0" applyNumberFormat="1" applyFill="1"/>
    <xf numFmtId="164" fontId="0" fillId="0" borderId="2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0" borderId="16" xfId="0" applyNumberFormat="1" applyBorder="1"/>
    <xf numFmtId="164" fontId="0" fillId="0" borderId="3" xfId="0" applyNumberFormat="1" applyBorder="1"/>
    <xf numFmtId="164" fontId="0" fillId="0" borderId="1" xfId="0" applyNumberFormat="1" applyBorder="1"/>
    <xf numFmtId="164" fontId="0" fillId="0" borderId="17" xfId="0" applyNumberFormat="1" applyBorder="1"/>
    <xf numFmtId="0" fontId="0" fillId="6" borderId="19" xfId="0" applyFill="1" applyBorder="1"/>
    <xf numFmtId="0" fontId="0" fillId="6" borderId="1" xfId="0" applyFill="1" applyBorder="1"/>
    <xf numFmtId="165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12" xfId="0" applyFill="1" applyBorder="1"/>
    <xf numFmtId="165" fontId="0" fillId="6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9" fillId="0" borderId="2" xfId="1" applyFont="1" applyBorder="1" applyAlignment="1">
      <alignment horizontal="center" vertical="center"/>
    </xf>
    <xf numFmtId="0" fontId="0" fillId="6" borderId="3" xfId="0" applyFill="1" applyBorder="1"/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/>
    </xf>
    <xf numFmtId="9" fontId="0" fillId="6" borderId="18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/>
    </xf>
    <xf numFmtId="0" fontId="9" fillId="6" borderId="2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9" fontId="2" fillId="6" borderId="10" xfId="0" applyNumberFormat="1" applyFont="1" applyFill="1" applyBorder="1" applyAlignment="1">
      <alignment horizontal="center" vertical="center"/>
    </xf>
    <xf numFmtId="0" fontId="9" fillId="0" borderId="1" xfId="1" applyFont="1" applyBorder="1"/>
    <xf numFmtId="0" fontId="9" fillId="0" borderId="3" xfId="1" applyFont="1" applyBorder="1" applyAlignment="1">
      <alignment horizontal="center" vertical="center"/>
    </xf>
    <xf numFmtId="0" fontId="0" fillId="7" borderId="0" xfId="0" applyFill="1"/>
    <xf numFmtId="164" fontId="0" fillId="7" borderId="0" xfId="0" applyNumberFormat="1" applyFill="1"/>
    <xf numFmtId="0" fontId="5" fillId="7" borderId="0" xfId="0" applyFont="1" applyFill="1"/>
    <xf numFmtId="164" fontId="5" fillId="7" borderId="0" xfId="0" applyNumberFormat="1" applyFont="1" applyFill="1"/>
    <xf numFmtId="2" fontId="0" fillId="7" borderId="0" xfId="0" applyNumberFormat="1" applyFill="1"/>
    <xf numFmtId="9" fontId="0" fillId="7" borderId="0" xfId="0" applyNumberFormat="1" applyFill="1"/>
    <xf numFmtId="0" fontId="0" fillId="2" borderId="2" xfId="0" applyFill="1" applyBorder="1" applyAlignment="1">
      <alignment horizontal="center"/>
    </xf>
    <xf numFmtId="0" fontId="1" fillId="6" borderId="0" xfId="0" applyFont="1" applyFill="1"/>
    <xf numFmtId="0" fontId="11" fillId="0" borderId="0" xfId="0" applyFont="1"/>
    <xf numFmtId="0" fontId="11" fillId="0" borderId="0" xfId="0" applyFont="1" applyAlignment="1">
      <alignment wrapText="1"/>
    </xf>
    <xf numFmtId="0" fontId="11" fillId="2" borderId="0" xfId="0" applyFont="1" applyFill="1"/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center" wrapText="1"/>
    </xf>
    <xf numFmtId="0" fontId="12" fillId="2" borderId="0" xfId="0" applyFont="1" applyFill="1"/>
    <xf numFmtId="0" fontId="14" fillId="0" borderId="0" xfId="0" applyFont="1"/>
    <xf numFmtId="0" fontId="11" fillId="6" borderId="0" xfId="0" applyFont="1" applyFill="1"/>
    <xf numFmtId="0" fontId="12" fillId="6" borderId="0" xfId="0" applyFont="1" applyFill="1"/>
    <xf numFmtId="0" fontId="11" fillId="6" borderId="0" xfId="0" applyFont="1" applyFill="1" applyAlignment="1">
      <alignment wrapText="1"/>
    </xf>
    <xf numFmtId="0" fontId="12" fillId="2" borderId="0" xfId="0" applyFont="1" applyFill="1" applyAlignment="1">
      <alignment wrapText="1"/>
    </xf>
    <xf numFmtId="0" fontId="14" fillId="2" borderId="0" xfId="0" applyFont="1" applyFill="1"/>
    <xf numFmtId="0" fontId="12" fillId="6" borderId="34" xfId="0" applyFont="1" applyFill="1" applyBorder="1" applyAlignment="1">
      <alignment horizontal="center" vertical="center" wrapText="1"/>
    </xf>
    <xf numFmtId="0" fontId="12" fillId="6" borderId="35" xfId="0" applyFont="1" applyFill="1" applyBorder="1" applyAlignment="1">
      <alignment horizontal="center" vertical="center" wrapText="1"/>
    </xf>
    <xf numFmtId="0" fontId="12" fillId="6" borderId="36" xfId="0" applyFont="1" applyFill="1" applyBorder="1" applyAlignment="1">
      <alignment horizontal="center" vertical="center" wrapText="1"/>
    </xf>
    <xf numFmtId="0" fontId="15" fillId="0" borderId="0" xfId="0" applyFont="1"/>
    <xf numFmtId="0" fontId="12" fillId="6" borderId="31" xfId="0" applyFont="1" applyFill="1" applyBorder="1" applyAlignment="1">
      <alignment horizontal="center" vertical="center" wrapText="1"/>
    </xf>
    <xf numFmtId="0" fontId="11" fillId="6" borderId="32" xfId="0" applyFont="1" applyFill="1" applyBorder="1" applyAlignment="1">
      <alignment horizontal="center" vertical="center" wrapText="1"/>
    </xf>
    <xf numFmtId="9" fontId="11" fillId="6" borderId="32" xfId="0" applyNumberFormat="1" applyFont="1" applyFill="1" applyBorder="1" applyAlignment="1">
      <alignment horizontal="center" vertical="center" wrapText="1"/>
    </xf>
    <xf numFmtId="10" fontId="11" fillId="6" borderId="32" xfId="0" applyNumberFormat="1" applyFont="1" applyFill="1" applyBorder="1" applyAlignment="1">
      <alignment horizontal="center" vertical="center" wrapText="1"/>
    </xf>
    <xf numFmtId="0" fontId="11" fillId="6" borderId="33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9" fontId="11" fillId="6" borderId="20" xfId="0" applyNumberFormat="1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2" fontId="11" fillId="6" borderId="20" xfId="0" applyNumberFormat="1" applyFont="1" applyFill="1" applyBorder="1" applyAlignment="1">
      <alignment horizontal="center" vertical="center" wrapText="1"/>
    </xf>
    <xf numFmtId="0" fontId="12" fillId="6" borderId="28" xfId="0" applyFont="1" applyFill="1" applyBorder="1" applyAlignment="1">
      <alignment horizontal="center" vertical="center" wrapText="1"/>
    </xf>
    <xf numFmtId="0" fontId="11" fillId="6" borderId="30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" fontId="14" fillId="0" borderId="2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7" fillId="0" borderId="0" xfId="0" applyFont="1"/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top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top" wrapText="1"/>
    </xf>
    <xf numFmtId="0" fontId="11" fillId="0" borderId="25" xfId="0" applyFont="1" applyBorder="1" applyAlignment="1">
      <alignment horizontal="left" vertical="top" wrapText="1"/>
    </xf>
    <xf numFmtId="0" fontId="11" fillId="0" borderId="37" xfId="0" applyFont="1" applyBorder="1" applyAlignment="1">
      <alignment horizontal="center" vertical="center" wrapText="1"/>
    </xf>
    <xf numFmtId="2" fontId="11" fillId="0" borderId="23" xfId="0" applyNumberFormat="1" applyFont="1" applyBorder="1" applyAlignment="1">
      <alignment horizontal="center" vertical="center" wrapText="1"/>
    </xf>
    <xf numFmtId="2" fontId="11" fillId="0" borderId="24" xfId="0" applyNumberFormat="1" applyFont="1" applyBorder="1" applyAlignment="1">
      <alignment horizontal="center" vertical="center" wrapText="1"/>
    </xf>
    <xf numFmtId="165" fontId="11" fillId="0" borderId="26" xfId="0" applyNumberFormat="1" applyFont="1" applyBorder="1" applyAlignment="1">
      <alignment horizontal="center" vertical="center" wrapText="1"/>
    </xf>
    <xf numFmtId="165" fontId="11" fillId="0" borderId="27" xfId="0" applyNumberFormat="1" applyFont="1" applyBorder="1" applyAlignment="1">
      <alignment horizontal="center" vertical="center" wrapText="1"/>
    </xf>
    <xf numFmtId="165" fontId="11" fillId="0" borderId="23" xfId="0" applyNumberFormat="1" applyFont="1" applyBorder="1" applyAlignment="1">
      <alignment horizontal="center" vertical="center" wrapText="1"/>
    </xf>
    <xf numFmtId="165" fontId="11" fillId="0" borderId="24" xfId="0" applyNumberFormat="1" applyFont="1" applyBorder="1" applyAlignment="1">
      <alignment horizontal="center" vertical="center" wrapText="1"/>
    </xf>
    <xf numFmtId="164" fontId="11" fillId="0" borderId="37" xfId="0" applyNumberFormat="1" applyFont="1" applyBorder="1" applyAlignment="1">
      <alignment horizontal="center" vertical="center" wrapText="1"/>
    </xf>
    <xf numFmtId="164" fontId="11" fillId="0" borderId="38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14" fillId="0" borderId="1" xfId="0" applyFont="1" applyBorder="1" applyAlignment="1">
      <alignment horizontal="center"/>
    </xf>
    <xf numFmtId="0" fontId="19" fillId="2" borderId="0" xfId="0" applyFont="1" applyFill="1"/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6" xfId="0" applyFont="1" applyBorder="1" applyAlignment="1">
      <alignment wrapText="1"/>
    </xf>
    <xf numFmtId="0" fontId="19" fillId="0" borderId="6" xfId="0" applyFont="1" applyBorder="1" applyAlignment="1">
      <alignment horizontal="center" wrapText="1"/>
    </xf>
    <xf numFmtId="9" fontId="19" fillId="0" borderId="6" xfId="0" applyNumberFormat="1" applyFont="1" applyBorder="1" applyAlignment="1">
      <alignment horizontal="center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164" fontId="19" fillId="0" borderId="6" xfId="0" applyNumberFormat="1" applyFont="1" applyBorder="1"/>
    <xf numFmtId="0" fontId="19" fillId="0" borderId="6" xfId="0" applyFont="1" applyBorder="1" applyAlignment="1">
      <alignment horizontal="center"/>
    </xf>
    <xf numFmtId="0" fontId="19" fillId="0" borderId="6" xfId="0" applyFont="1" applyBorder="1"/>
    <xf numFmtId="9" fontId="19" fillId="0" borderId="6" xfId="0" applyNumberFormat="1" applyFont="1" applyBorder="1" applyAlignment="1">
      <alignment horizontal="center"/>
    </xf>
    <xf numFmtId="0" fontId="14" fillId="0" borderId="1" xfId="0" applyFont="1" applyBorder="1"/>
    <xf numFmtId="0" fontId="12" fillId="4" borderId="4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vertical="center" wrapText="1"/>
    </xf>
    <xf numFmtId="0" fontId="11" fillId="4" borderId="27" xfId="0" applyFont="1" applyFill="1" applyBorder="1" applyAlignment="1">
      <alignment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vertical="center" wrapText="1"/>
    </xf>
    <xf numFmtId="0" fontId="11" fillId="4" borderId="24" xfId="0" applyFont="1" applyFill="1" applyBorder="1" applyAlignment="1">
      <alignment vertical="center" wrapText="1"/>
    </xf>
    <xf numFmtId="0" fontId="12" fillId="4" borderId="37" xfId="0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vertical="center" wrapText="1"/>
    </xf>
    <xf numFmtId="0" fontId="11" fillId="4" borderId="38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vertical="center" wrapText="1"/>
    </xf>
    <xf numFmtId="0" fontId="11" fillId="2" borderId="23" xfId="0" applyFont="1" applyFill="1" applyBorder="1" applyAlignment="1">
      <alignment vertical="center" wrapText="1"/>
    </xf>
    <xf numFmtId="0" fontId="11" fillId="2" borderId="37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/>
    </xf>
    <xf numFmtId="10" fontId="11" fillId="6" borderId="20" xfId="0" applyNumberFormat="1" applyFont="1" applyFill="1" applyBorder="1" applyAlignment="1">
      <alignment horizontal="center" vertical="center" wrapText="1"/>
    </xf>
    <xf numFmtId="10" fontId="11" fillId="6" borderId="29" xfId="0" applyNumberFormat="1" applyFont="1" applyFill="1" applyBorder="1" applyAlignment="1">
      <alignment horizontal="center" vertical="center" wrapText="1"/>
    </xf>
    <xf numFmtId="2" fontId="14" fillId="0" borderId="0" xfId="0" applyNumberFormat="1" applyFont="1"/>
    <xf numFmtId="3" fontId="14" fillId="0" borderId="1" xfId="0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2" fontId="16" fillId="0" borderId="1" xfId="0" applyNumberFormat="1" applyFont="1" applyBorder="1"/>
    <xf numFmtId="2" fontId="11" fillId="2" borderId="0" xfId="0" applyNumberFormat="1" applyFont="1" applyFill="1" applyAlignment="1">
      <alignment horizontal="center" vertical="center"/>
    </xf>
    <xf numFmtId="0" fontId="14" fillId="0" borderId="3" xfId="0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9" fontId="11" fillId="0" borderId="0" xfId="0" applyNumberFormat="1" applyFont="1"/>
    <xf numFmtId="0" fontId="13" fillId="2" borderId="0" xfId="0" applyFont="1" applyFill="1"/>
    <xf numFmtId="2" fontId="11" fillId="0" borderId="0" xfId="0" applyNumberFormat="1" applyFont="1" applyAlignment="1">
      <alignment horizontal="left"/>
    </xf>
    <xf numFmtId="2" fontId="12" fillId="2" borderId="0" xfId="0" applyNumberFormat="1" applyFont="1" applyFill="1" applyAlignment="1">
      <alignment horizontal="center" vertical="center"/>
    </xf>
    <xf numFmtId="0" fontId="12" fillId="0" borderId="0" xfId="0" applyFont="1"/>
    <xf numFmtId="165" fontId="12" fillId="0" borderId="0" xfId="0" applyNumberFormat="1" applyFont="1" applyAlignment="1">
      <alignment horizontal="center" wrapText="1"/>
    </xf>
    <xf numFmtId="0" fontId="12" fillId="2" borderId="6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vertical="center" wrapText="1"/>
    </xf>
    <xf numFmtId="0" fontId="11" fillId="2" borderId="24" xfId="0" applyFont="1" applyFill="1" applyBorder="1" applyAlignment="1">
      <alignment vertical="center" wrapText="1"/>
    </xf>
    <xf numFmtId="0" fontId="11" fillId="2" borderId="38" xfId="0" applyFont="1" applyFill="1" applyBorder="1" applyAlignment="1">
      <alignment vertical="center" wrapText="1"/>
    </xf>
    <xf numFmtId="0" fontId="14" fillId="2" borderId="0" xfId="0" applyFont="1" applyFill="1" applyAlignment="1">
      <alignment wrapText="1"/>
    </xf>
    <xf numFmtId="0" fontId="14" fillId="0" borderId="1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1" fontId="14" fillId="0" borderId="0" xfId="0" applyNumberFormat="1" applyFont="1" applyAlignment="1">
      <alignment horizontal="center" wrapText="1"/>
    </xf>
    <xf numFmtId="1" fontId="14" fillId="0" borderId="1" xfId="0" applyNumberFormat="1" applyFont="1" applyBorder="1" applyAlignment="1">
      <alignment horizontal="center" wrapText="1"/>
    </xf>
    <xf numFmtId="0" fontId="22" fillId="0" borderId="0" xfId="0" applyFont="1" applyAlignment="1">
      <alignment vertical="center"/>
    </xf>
    <xf numFmtId="165" fontId="0" fillId="6" borderId="0" xfId="0" applyNumberFormat="1" applyFill="1" applyAlignment="1">
      <alignment horizontal="center"/>
    </xf>
    <xf numFmtId="0" fontId="19" fillId="2" borderId="6" xfId="0" applyFont="1" applyFill="1" applyBorder="1" applyAlignment="1">
      <alignment wrapText="1"/>
    </xf>
    <xf numFmtId="0" fontId="19" fillId="2" borderId="6" xfId="0" applyFont="1" applyFill="1" applyBorder="1" applyAlignment="1">
      <alignment horizontal="center" wrapText="1"/>
    </xf>
    <xf numFmtId="0" fontId="19" fillId="4" borderId="6" xfId="0" applyFont="1" applyFill="1" applyBorder="1" applyAlignment="1">
      <alignment wrapText="1"/>
    </xf>
    <xf numFmtId="0" fontId="19" fillId="4" borderId="6" xfId="0" applyFont="1" applyFill="1" applyBorder="1" applyAlignment="1">
      <alignment horizontal="center" wrapText="1"/>
    </xf>
    <xf numFmtId="9" fontId="19" fillId="4" borderId="6" xfId="0" applyNumberFormat="1" applyFont="1" applyFill="1" applyBorder="1" applyAlignment="1">
      <alignment horizontal="center" wrapText="1"/>
    </xf>
    <xf numFmtId="0" fontId="19" fillId="0" borderId="6" xfId="0" applyFont="1" applyBorder="1" applyAlignment="1">
      <alignment vertical="center" wrapText="1"/>
    </xf>
    <xf numFmtId="0" fontId="21" fillId="4" borderId="6" xfId="2" applyFont="1" applyFill="1" applyBorder="1" applyAlignment="1">
      <alignment wrapText="1"/>
    </xf>
    <xf numFmtId="0" fontId="19" fillId="2" borderId="6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left"/>
    </xf>
    <xf numFmtId="0" fontId="19" fillId="4" borderId="6" xfId="0" applyFont="1" applyFill="1" applyBorder="1" applyAlignment="1">
      <alignment horizontal="center"/>
    </xf>
    <xf numFmtId="0" fontId="19" fillId="2" borderId="0" xfId="0" applyFont="1" applyFill="1" applyAlignment="1">
      <alignment wrapText="1"/>
    </xf>
    <xf numFmtId="0" fontId="22" fillId="0" borderId="0" xfId="0" applyFont="1"/>
    <xf numFmtId="0" fontId="22" fillId="2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0" fontId="24" fillId="4" borderId="6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164" fontId="22" fillId="4" borderId="6" xfId="0" applyNumberFormat="1" applyFont="1" applyFill="1" applyBorder="1" applyAlignment="1">
      <alignment horizontal="center" vertical="center" wrapText="1"/>
    </xf>
    <xf numFmtId="0" fontId="10" fillId="0" borderId="0" xfId="2"/>
    <xf numFmtId="3" fontId="22" fillId="4" borderId="6" xfId="0" applyNumberFormat="1" applyFont="1" applyFill="1" applyBorder="1" applyAlignment="1">
      <alignment horizontal="center" vertical="center" wrapText="1"/>
    </xf>
    <xf numFmtId="164" fontId="23" fillId="4" borderId="6" xfId="0" applyNumberFormat="1" applyFont="1" applyFill="1" applyBorder="1" applyAlignment="1">
      <alignment horizontal="center" vertical="center" wrapText="1"/>
    </xf>
    <xf numFmtId="0" fontId="10" fillId="0" borderId="0" xfId="2" applyAlignment="1"/>
    <xf numFmtId="0" fontId="25" fillId="4" borderId="6" xfId="0" applyFont="1" applyFill="1" applyBorder="1"/>
    <xf numFmtId="0" fontId="25" fillId="4" borderId="6" xfId="0" applyFont="1" applyFill="1" applyBorder="1" applyAlignment="1">
      <alignment horizontal="center"/>
    </xf>
    <xf numFmtId="2" fontId="25" fillId="4" borderId="6" xfId="0" applyNumberFormat="1" applyFont="1" applyFill="1" applyBorder="1" applyAlignment="1">
      <alignment horizontal="center"/>
    </xf>
    <xf numFmtId="10" fontId="25" fillId="4" borderId="6" xfId="0" applyNumberFormat="1" applyFont="1" applyFill="1" applyBorder="1" applyAlignment="1">
      <alignment horizontal="center"/>
    </xf>
    <xf numFmtId="0" fontId="26" fillId="9" borderId="6" xfId="0" applyFont="1" applyFill="1" applyBorder="1"/>
    <xf numFmtId="0" fontId="26" fillId="9" borderId="6" xfId="0" applyFont="1" applyFill="1" applyBorder="1" applyAlignment="1">
      <alignment horizontal="center"/>
    </xf>
    <xf numFmtId="0" fontId="23" fillId="0" borderId="0" xfId="0" applyFont="1"/>
    <xf numFmtId="0" fontId="22" fillId="2" borderId="0" xfId="0" applyFont="1" applyFill="1"/>
    <xf numFmtId="0" fontId="23" fillId="2" borderId="6" xfId="0" applyFont="1" applyFill="1" applyBorder="1"/>
    <xf numFmtId="2" fontId="27" fillId="4" borderId="6" xfId="0" applyNumberFormat="1" applyFont="1" applyFill="1" applyBorder="1" applyAlignment="1">
      <alignment horizontal="center"/>
    </xf>
    <xf numFmtId="164" fontId="22" fillId="2" borderId="0" xfId="0" applyNumberFormat="1" applyFont="1" applyFill="1"/>
    <xf numFmtId="10" fontId="23" fillId="0" borderId="0" xfId="0" applyNumberFormat="1" applyFont="1"/>
    <xf numFmtId="2" fontId="23" fillId="0" borderId="0" xfId="0" applyNumberFormat="1" applyFont="1"/>
    <xf numFmtId="0" fontId="28" fillId="8" borderId="20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9" fillId="6" borderId="0" xfId="0" applyFont="1" applyFill="1" applyAlignment="1">
      <alignment vertical="center"/>
    </xf>
    <xf numFmtId="0" fontId="19" fillId="6" borderId="0" xfId="0" applyFont="1" applyFill="1"/>
    <xf numFmtId="0" fontId="22" fillId="6" borderId="0" xfId="0" applyFont="1" applyFill="1"/>
    <xf numFmtId="0" fontId="19" fillId="0" borderId="20" xfId="0" applyFont="1" applyBorder="1" applyAlignment="1">
      <alignment horizontal="center" vertical="center"/>
    </xf>
    <xf numFmtId="9" fontId="19" fillId="0" borderId="20" xfId="0" applyNumberFormat="1" applyFont="1" applyBorder="1" applyAlignment="1">
      <alignment horizontal="center" vertical="center"/>
    </xf>
    <xf numFmtId="0" fontId="19" fillId="2" borderId="42" xfId="0" applyFont="1" applyFill="1" applyBorder="1" applyAlignment="1">
      <alignment horizontal="left" vertical="center"/>
    </xf>
    <xf numFmtId="0" fontId="28" fillId="8" borderId="21" xfId="0" applyFont="1" applyFill="1" applyBorder="1" applyAlignment="1">
      <alignment horizontal="center" vertical="center"/>
    </xf>
    <xf numFmtId="0" fontId="28" fillId="8" borderId="22" xfId="0" applyFont="1" applyFill="1" applyBorder="1" applyAlignment="1">
      <alignment horizontal="center" vertical="center"/>
    </xf>
    <xf numFmtId="0" fontId="19" fillId="0" borderId="21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0" fontId="19" fillId="0" borderId="28" xfId="0" applyFont="1" applyBorder="1" applyAlignment="1">
      <alignment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vertical="center"/>
    </xf>
    <xf numFmtId="0" fontId="28" fillId="6" borderId="43" xfId="0" applyFont="1" applyFill="1" applyBorder="1" applyAlignment="1">
      <alignment horizontal="center" vertical="center"/>
    </xf>
    <xf numFmtId="0" fontId="19" fillId="6" borderId="43" xfId="0" applyFont="1" applyFill="1" applyBorder="1" applyAlignment="1">
      <alignment vertical="center"/>
    </xf>
    <xf numFmtId="0" fontId="19" fillId="2" borderId="42" xfId="0" applyFont="1" applyFill="1" applyBorder="1"/>
    <xf numFmtId="0" fontId="19" fillId="2" borderId="40" xfId="0" applyFont="1" applyFill="1" applyBorder="1" applyAlignment="1">
      <alignment vertical="center"/>
    </xf>
    <xf numFmtId="0" fontId="19" fillId="2" borderId="41" xfId="0" applyFont="1" applyFill="1" applyBorder="1" applyAlignment="1">
      <alignment vertical="center"/>
    </xf>
    <xf numFmtId="2" fontId="18" fillId="0" borderId="44" xfId="0" applyNumberFormat="1" applyFont="1" applyBorder="1" applyAlignment="1">
      <alignment horizontal="left" vertical="center"/>
    </xf>
    <xf numFmtId="0" fontId="18" fillId="0" borderId="21" xfId="0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4" fontId="22" fillId="0" borderId="0" xfId="0" applyNumberFormat="1" applyFont="1"/>
    <xf numFmtId="164" fontId="18" fillId="0" borderId="20" xfId="0" applyNumberFormat="1" applyFont="1" applyBorder="1" applyAlignment="1">
      <alignment horizontal="center" vertical="center" wrapText="1"/>
    </xf>
    <xf numFmtId="1" fontId="18" fillId="0" borderId="20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2" borderId="45" xfId="0" applyFont="1" applyFill="1" applyBorder="1" applyAlignment="1">
      <alignment horizontal="center" vertical="center"/>
    </xf>
    <xf numFmtId="0" fontId="18" fillId="2" borderId="46" xfId="0" applyFont="1" applyFill="1" applyBorder="1" applyAlignment="1">
      <alignment horizontal="center" vertical="center"/>
    </xf>
    <xf numFmtId="0" fontId="18" fillId="2" borderId="47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1" fontId="18" fillId="0" borderId="22" xfId="0" applyNumberFormat="1" applyFont="1" applyBorder="1" applyAlignment="1">
      <alignment horizontal="center" vertical="center" wrapText="1"/>
    </xf>
    <xf numFmtId="1" fontId="18" fillId="0" borderId="29" xfId="0" applyNumberFormat="1" applyFont="1" applyBorder="1" applyAlignment="1">
      <alignment horizontal="center" vertical="center" wrapText="1"/>
    </xf>
    <xf numFmtId="1" fontId="18" fillId="0" borderId="30" xfId="0" applyNumberFormat="1" applyFont="1" applyBorder="1" applyAlignment="1">
      <alignment horizontal="center" vertical="center" wrapText="1"/>
    </xf>
    <xf numFmtId="0" fontId="18" fillId="2" borderId="48" xfId="0" applyFont="1" applyFill="1" applyBorder="1" applyAlignment="1">
      <alignment horizontal="center" vertical="center"/>
    </xf>
    <xf numFmtId="0" fontId="18" fillId="2" borderId="49" xfId="0" applyFont="1" applyFill="1" applyBorder="1" applyAlignment="1">
      <alignment horizontal="center" vertical="center"/>
    </xf>
    <xf numFmtId="0" fontId="18" fillId="2" borderId="50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164" fontId="18" fillId="0" borderId="53" xfId="0" applyNumberFormat="1" applyFont="1" applyBorder="1" applyAlignment="1">
      <alignment horizontal="center" vertical="center" wrapText="1"/>
    </xf>
    <xf numFmtId="0" fontId="18" fillId="0" borderId="54" xfId="0" applyFont="1" applyBorder="1" applyAlignment="1">
      <alignment vertical="center"/>
    </xf>
    <xf numFmtId="164" fontId="18" fillId="0" borderId="39" xfId="0" applyNumberFormat="1" applyFont="1" applyBorder="1" applyAlignment="1">
      <alignment horizontal="center" vertical="center" wrapText="1"/>
    </xf>
    <xf numFmtId="164" fontId="18" fillId="0" borderId="5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2" borderId="40" xfId="0" applyFont="1" applyFill="1" applyBorder="1" applyAlignment="1">
      <alignment horizontal="left" vertical="center"/>
    </xf>
    <xf numFmtId="0" fontId="19" fillId="2" borderId="41" xfId="0" applyFont="1" applyFill="1" applyBorder="1" applyAlignment="1">
      <alignment horizontal="left" vertical="center"/>
    </xf>
    <xf numFmtId="0" fontId="19" fillId="6" borderId="0" xfId="0" applyFont="1" applyFill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EFFF659D-8054-4867-9935-39C45C132B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U.S.</a:t>
            </a:r>
            <a:r>
              <a:rPr lang="fi-FI" baseline="0"/>
              <a:t>  </a:t>
            </a:r>
          </a:p>
          <a:p>
            <a:pPr>
              <a:defRPr/>
            </a:pPr>
            <a:r>
              <a:rPr lang="fi-FI" baseline="0"/>
              <a:t> Revenue by  Sales Channel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'Dexcom financial information'!$M$114</c:f>
              <c:strCache>
                <c:ptCount val="1"/>
                <c:pt idx="0">
                  <c:v>Distributor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'Dexcom financial information'!$N$112:$P$113</c:f>
              <c:strCach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strCache>
            </c:strRef>
          </c:cat>
          <c:val>
            <c:numRef>
              <c:f>'Dexcom financial information'!$N$114:$P$114</c:f>
              <c:numCache>
                <c:formatCode>General</c:formatCode>
                <c:ptCount val="3"/>
                <c:pt idx="0">
                  <c:v>3195.7</c:v>
                </c:pt>
                <c:pt idx="1">
                  <c:v>2824.4</c:v>
                </c:pt>
                <c:pt idx="2">
                  <c:v>2587.1999999999998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D-4C11-964D-6EA984CF1A6B}"/>
            </c:ext>
          </c:extLst>
        </c:ser>
        <c:ser>
          <c:idx val="1"/>
          <c:order val="1"/>
          <c:tx>
            <c:strRef>
              <c:f>'Dexcom financial information'!$M$115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'Dexcom financial information'!$N$112:$P$113</c:f>
              <c:strCach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strCache>
            </c:strRef>
          </c:cat>
          <c:val>
            <c:numRef>
              <c:f>'Dexcom financial information'!$N$115:$P$115</c:f>
              <c:numCache>
                <c:formatCode>General</c:formatCode>
                <c:ptCount val="3"/>
                <c:pt idx="0">
                  <c:v>139.19999999999999</c:v>
                </c:pt>
                <c:pt idx="1">
                  <c:v>65.400000000000006</c:v>
                </c:pt>
                <c:pt idx="2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D-4C11-964D-6EA984CF1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623504"/>
        <c:axId val="708728144"/>
      </c:barChart>
      <c:catAx>
        <c:axId val="105062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708728144"/>
        <c:crosses val="autoZero"/>
        <c:auto val="1"/>
        <c:lblAlgn val="ctr"/>
        <c:lblOffset val="100"/>
        <c:noMultiLvlLbl val="0"/>
      </c:catAx>
      <c:valAx>
        <c:axId val="70872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M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05062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i-FI"/>
              <a:t>International </a:t>
            </a:r>
          </a:p>
          <a:p>
            <a:pPr>
              <a:defRPr/>
            </a:pPr>
            <a:r>
              <a:rPr lang="fi-FI"/>
              <a:t>Revenue</a:t>
            </a:r>
            <a:r>
              <a:rPr lang="fi-FI" baseline="0"/>
              <a:t> by Sales Channel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'Dexcom financial information'!$M$120</c:f>
              <c:strCache>
                <c:ptCount val="1"/>
                <c:pt idx="0">
                  <c:v>Distributor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'Dexcom financial information'!$N$119:$P$119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'Dexcom financial information'!$N$120:$P$120</c:f>
              <c:numCache>
                <c:formatCode>General</c:formatCode>
                <c:ptCount val="3"/>
                <c:pt idx="0">
                  <c:v>763.3</c:v>
                </c:pt>
                <c:pt idx="1">
                  <c:v>605.70000000000005</c:v>
                </c:pt>
                <c:pt idx="2">
                  <c:v>508.4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1-4A8A-9C30-6526F44EC703}"/>
            </c:ext>
          </c:extLst>
        </c:ser>
        <c:ser>
          <c:idx val="1"/>
          <c:order val="1"/>
          <c:tx>
            <c:strRef>
              <c:f>'Dexcom financial information'!$M$121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'Dexcom financial information'!$N$119:$P$119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'Dexcom financial information'!$N$121:$P$121</c:f>
              <c:numCache>
                <c:formatCode>General</c:formatCode>
                <c:ptCount val="3"/>
                <c:pt idx="0">
                  <c:v>563.79999999999995</c:v>
                </c:pt>
                <c:pt idx="1">
                  <c:v>537.5</c:v>
                </c:pt>
                <c:pt idx="2">
                  <c:v>488.6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1-4A8A-9C30-6526F44EC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982832"/>
        <c:axId val="708559664"/>
      </c:barChart>
      <c:catAx>
        <c:axId val="105198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708559664"/>
        <c:crosses val="autoZero"/>
        <c:auto val="1"/>
        <c:lblAlgn val="ctr"/>
        <c:lblOffset val="100"/>
        <c:noMultiLvlLbl val="0"/>
      </c:catAx>
      <c:valAx>
        <c:axId val="708559664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05198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FI" sz="1400" b="0" i="0" u="none" strike="noStrike" baseline="0"/>
              <a:t>Revenue and EBIT% Development, 2020–2025</a:t>
            </a:r>
            <a:endParaRPr lang="fi-F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'Dexcom financial info + figures'!$N$3</c:f>
              <c:strCache>
                <c:ptCount val="1"/>
                <c:pt idx="0">
                  <c:v>Revenue [M $]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'Dexcom financial info + figures'!$O$2:$T$2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'Dexcom financial info + figures'!$O$3:$T$3</c:f>
              <c:numCache>
                <c:formatCode>0</c:formatCode>
                <c:ptCount val="6"/>
                <c:pt idx="0">
                  <c:v>1926.7</c:v>
                </c:pt>
                <c:pt idx="1">
                  <c:v>2448.5</c:v>
                </c:pt>
                <c:pt idx="2">
                  <c:v>2909.8</c:v>
                </c:pt>
                <c:pt idx="3">
                  <c:v>3622.3</c:v>
                </c:pt>
                <c:pt idx="4">
                  <c:v>4033</c:v>
                </c:pt>
                <c:pt idx="5">
                  <c:v>4662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E-4BAF-BF03-0C9591BCF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72751"/>
        <c:axId val="1726186863"/>
      </c:barChart>
      <c:lineChart>
        <c:grouping val="standard"/>
        <c:varyColors val="0"/>
        <c:ser>
          <c:idx val="1"/>
          <c:order val="1"/>
          <c:tx>
            <c:strRef>
              <c:f>'Dexcom financial info + figures'!$N$5</c:f>
              <c:strCache>
                <c:ptCount val="1"/>
                <c:pt idx="0">
                  <c:v>EBIT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'Dexcom financial info + figures'!$O$2:$T$2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'Dexcom financial info + figures'!$O$5:$T$5</c:f>
              <c:numCache>
                <c:formatCode>0.0</c:formatCode>
                <c:ptCount val="6"/>
                <c:pt idx="0">
                  <c:v>15.544713759277521</c:v>
                </c:pt>
                <c:pt idx="1">
                  <c:v>10.855625893404126</c:v>
                </c:pt>
                <c:pt idx="2">
                  <c:v>13.444222970650902</c:v>
                </c:pt>
                <c:pt idx="3">
                  <c:v>16.500565938768187</c:v>
                </c:pt>
                <c:pt idx="4">
                  <c:v>14.877262583684603</c:v>
                </c:pt>
                <c:pt idx="5">
                  <c:v>19.558129558129558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5E-4BAF-BF03-0C9591BCF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10063"/>
        <c:axId val="1726184463"/>
      </c:lineChart>
      <c:catAx>
        <c:axId val="4217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726186863"/>
        <c:crosses val="autoZero"/>
        <c:auto val="1"/>
        <c:lblAlgn val="ctr"/>
        <c:lblOffset val="100"/>
        <c:noMultiLvlLbl val="0"/>
      </c:catAx>
      <c:valAx>
        <c:axId val="1726186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 [M $]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667858705161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42172751"/>
        <c:crosses val="autoZero"/>
        <c:crossBetween val="between"/>
      </c:valAx>
      <c:valAx>
        <c:axId val="17261844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/>
                  <a:t>EBIT%</a:t>
                </a:r>
              </a:p>
            </c:rich>
          </c:tx>
          <c:layout>
            <c:manualLayout>
              <c:xMode val="edge"/>
              <c:yMode val="edge"/>
              <c:x val="0.94109711286089237"/>
              <c:y val="0.3585104986876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I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210110063"/>
        <c:crosses val="max"/>
        <c:crossBetween val="between"/>
      </c:valAx>
      <c:catAx>
        <c:axId val="210110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6184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>
        <c:manualLayout>
          <c:layoutTarget val="inner"/>
          <c:xMode val="edge"/>
          <c:yMode val="edge"/>
          <c:x val="0.17726159230096239"/>
          <c:y val="0.16708333333333336"/>
          <c:w val="0.78662729658792652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'Dexcom financial info + figures'!$N$3</c:f>
              <c:strCache>
                <c:ptCount val="1"/>
                <c:pt idx="0">
                  <c:v>Revenue [M $]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'Dexcom financial info + figures'!$O$2:$T$2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'Dexcom financial info + figures'!$O$3:$T$3</c:f>
              <c:numCache>
                <c:formatCode>0</c:formatCode>
                <c:ptCount val="6"/>
                <c:pt idx="0">
                  <c:v>1926.7</c:v>
                </c:pt>
                <c:pt idx="1">
                  <c:v>2448.5</c:v>
                </c:pt>
                <c:pt idx="2">
                  <c:v>2909.8</c:v>
                </c:pt>
                <c:pt idx="3">
                  <c:v>3622.3</c:v>
                </c:pt>
                <c:pt idx="4">
                  <c:v>4033</c:v>
                </c:pt>
                <c:pt idx="5">
                  <c:v>4662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F-4D20-897E-6346AE0756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1118095"/>
        <c:axId val="1726190223"/>
      </c:barChart>
      <c:catAx>
        <c:axId val="24111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726190223"/>
        <c:crosses val="autoZero"/>
        <c:auto val="1"/>
        <c:lblAlgn val="ctr"/>
        <c:lblOffset val="100"/>
        <c:noMultiLvlLbl val="0"/>
      </c:catAx>
      <c:valAx>
        <c:axId val="1726190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i-FI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[M $]</a:t>
                </a:r>
                <a:endParaRPr lang="fi-FI"/>
              </a:p>
            </c:rich>
          </c:tx>
          <c:layout>
            <c:manualLayout>
              <c:xMode val="edge"/>
              <c:yMode val="edge"/>
              <c:x val="3.6111111111111108E-2"/>
              <c:y val="0.4590664187809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i-FI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24111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&amp; Industry'!$L$2</c:f>
              <c:strCache>
                <c:ptCount val="1"/>
                <c:pt idx="0">
                  <c:v>Market Size Estimate 2025 [$ Bn]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 &amp; Industry'!$K$3:$K$7</c:f>
              <c:strCache>
                <c:ptCount val="5"/>
                <c:pt idx="0">
                  <c:v>Continuous glucose monitoring (prescription)</c:v>
                </c:pt>
                <c:pt idx="1">
                  <c:v>Biosensors</c:v>
                </c:pt>
                <c:pt idx="2">
                  <c:v>Wearable Medical Device</c:v>
                </c:pt>
                <c:pt idx="3">
                  <c:v>Diabetes care drugs &amp; medical devices</c:v>
                </c:pt>
                <c:pt idx="4">
                  <c:v>Digital Health</c:v>
                </c:pt>
              </c:strCache>
            </c:strRef>
          </c:cat>
          <c:val>
            <c:numRef>
              <c:f>'Market &amp; Industry'!$L$3:$L$7</c:f>
              <c:numCache>
                <c:formatCode>General</c:formatCode>
                <c:ptCount val="5"/>
                <c:pt idx="0">
                  <c:v>13.4</c:v>
                </c:pt>
                <c:pt idx="1">
                  <c:v>32</c:v>
                </c:pt>
                <c:pt idx="2">
                  <c:v>54</c:v>
                </c:pt>
                <c:pt idx="3">
                  <c:v>130</c:v>
                </c:pt>
                <c:pt idx="4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4-4C37-961B-06598529A2B4}"/>
            </c:ext>
          </c:extLst>
        </c:ser>
        <c:ser>
          <c:idx val="1"/>
          <c:order val="1"/>
          <c:tx>
            <c:strRef>
              <c:f>'Market &amp; Industry'!$M$2</c:f>
              <c:strCache>
                <c:ptCount val="1"/>
                <c:pt idx="0">
                  <c:v>Market Size Estimate 2030 [$ Bn]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 &amp; Industry'!$K$3:$K$7</c:f>
              <c:strCache>
                <c:ptCount val="5"/>
                <c:pt idx="0">
                  <c:v>Continuous glucose monitoring (prescription)</c:v>
                </c:pt>
                <c:pt idx="1">
                  <c:v>Biosensors</c:v>
                </c:pt>
                <c:pt idx="2">
                  <c:v>Wearable Medical Device</c:v>
                </c:pt>
                <c:pt idx="3">
                  <c:v>Diabetes care drugs &amp; medical devices</c:v>
                </c:pt>
                <c:pt idx="4">
                  <c:v>Digital Health</c:v>
                </c:pt>
              </c:strCache>
            </c:strRef>
          </c:cat>
          <c:val>
            <c:numRef>
              <c:f>'Market &amp; Industry'!$M$3:$M$7</c:f>
              <c:numCache>
                <c:formatCode>0.0</c:formatCode>
                <c:ptCount val="5"/>
                <c:pt idx="0">
                  <c:v>26.952186312499993</c:v>
                </c:pt>
                <c:pt idx="1">
                  <c:v>49.462234404046427</c:v>
                </c:pt>
                <c:pt idx="2">
                  <c:v>196.67203064420619</c:v>
                </c:pt>
                <c:pt idx="3">
                  <c:v>197.28364019184684</c:v>
                </c:pt>
                <c:pt idx="4">
                  <c:v>976.91107245209992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4-4C37-961B-06598529A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239951"/>
        <c:axId val="1150337679"/>
      </c:barChart>
      <c:catAx>
        <c:axId val="146223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150337679"/>
        <c:crosses val="autoZero"/>
        <c:auto val="1"/>
        <c:lblAlgn val="ctr"/>
        <c:lblOffset val="100"/>
        <c:noMultiLvlLbl val="0"/>
      </c:catAx>
      <c:valAx>
        <c:axId val="1150337679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46223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00000000-2FB7-456E-9626-4DD8B125D375}">
          <cx:tx>
            <cx:txData>
              <cx:f>_xlchart.v1.1</cx:f>
              <cx:v>Market Size Estimate 2025 [$ Bn]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342900</xdr:colOff>
      <xdr:row>106</xdr:row>
      <xdr:rowOff>30480</xdr:rowOff>
    </xdr:from>
    <xdr:to>
      <xdr:col>21</xdr:col>
      <xdr:colOff>605790</xdr:colOff>
      <xdr:row>121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EDB45C-9EF6-13E9-63D7-A91674295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152400</xdr:colOff>
      <xdr:row>106</xdr:row>
      <xdr:rowOff>68580</xdr:rowOff>
    </xdr:from>
    <xdr:to>
      <xdr:col>28</xdr:col>
      <xdr:colOff>38100</xdr:colOff>
      <xdr:row>121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E5E396-C941-AD4F-81A5-5BC5DA1A5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1056411</xdr:colOff>
      <xdr:row>8</xdr:row>
      <xdr:rowOff>100444</xdr:rowOff>
    </xdr:from>
    <xdr:to>
      <xdr:col>19</xdr:col>
      <xdr:colOff>142011</xdr:colOff>
      <xdr:row>23</xdr:row>
      <xdr:rowOff>142007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C8013E-0D31-78D5-6893-E43A9BDD5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10391</xdr:colOff>
      <xdr:row>1</xdr:row>
      <xdr:rowOff>38100</xdr:rowOff>
    </xdr:from>
    <xdr:to>
      <xdr:col>25</xdr:col>
      <xdr:colOff>200891</xdr:colOff>
      <xdr:row>16</xdr:row>
      <xdr:rowOff>65809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AF7A8B-44F9-1F54-C396-DE20100B3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121919</xdr:colOff>
      <xdr:row>38</xdr:row>
      <xdr:rowOff>15021</xdr:rowOff>
    </xdr:from>
    <xdr:to>
      <xdr:col>7</xdr:col>
      <xdr:colOff>1209055</xdr:colOff>
      <xdr:row>58</xdr:row>
      <xdr:rowOff>49003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39E66C-86A2-3F1D-3992-6D972DA80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6269" y="7939821"/>
          <a:ext cx="3732969" cy="3081982"/>
        </a:xfrm>
        <a:prstGeom prst="rect">
          <a:avLst/>
        </a:prstGeom>
      </xdr:spPr>
    </xdr:pic>
    <xdr:clientData/>
  </xdr:twoCellAnchor>
  <xdr:twoCellAnchor editAs="oneCell">
    <xdr:from>
      <xdr:col>1</xdr:col>
      <xdr:colOff>116343</xdr:colOff>
      <xdr:row>34</xdr:row>
      <xdr:rowOff>31750</xdr:rowOff>
    </xdr:from>
    <xdr:to>
      <xdr:col>4</xdr:col>
      <xdr:colOff>470045</xdr:colOff>
      <xdr:row>49</xdr:row>
      <xdr:rowOff>85517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146A81-DE4A-77E4-CE68-B6C3B6EAC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4243" y="7346950"/>
          <a:ext cx="4278002" cy="2339767"/>
        </a:xfrm>
        <a:prstGeom prst="rect">
          <a:avLst/>
        </a:prstGeom>
      </xdr:spPr>
    </xdr:pic>
    <xdr:clientData/>
  </xdr:twoCellAnchor>
  <xdr:twoCellAnchor editAs="oneCell">
    <xdr:from>
      <xdr:col>1</xdr:col>
      <xdr:colOff>195736</xdr:colOff>
      <xdr:row>50</xdr:row>
      <xdr:rowOff>99060</xdr:rowOff>
    </xdr:from>
    <xdr:to>
      <xdr:col>4</xdr:col>
      <xdr:colOff>298625</xdr:colOff>
      <xdr:row>64</xdr:row>
      <xdr:rowOff>6759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9F316F-8E18-995D-00FE-15449E51F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3636" y="9852660"/>
          <a:ext cx="4027189" cy="20412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21</xdr:row>
      <xdr:rowOff>106363</xdr:rowOff>
    </xdr:from>
    <xdr:to>
      <xdr:col>10</xdr:col>
      <xdr:colOff>565150</xdr:colOff>
      <xdr:row>35</xdr:row>
      <xdr:rowOff>134938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AE1F906-6ED6-CDB1-FB23-D23BF7F913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97540" y="5143183"/>
              <a:ext cx="1174750" cy="2162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FI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666749</xdr:colOff>
      <xdr:row>8</xdr:row>
      <xdr:rowOff>89430</xdr:rowOff>
    </xdr:from>
    <xdr:to>
      <xdr:col>13</xdr:col>
      <xdr:colOff>514349</xdr:colOff>
      <xdr:row>24</xdr:row>
      <xdr:rowOff>41805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9C8FBE-456E-E5F0-FC10-8B4856CAA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ulet.com/" TargetMode="External"/><Relationship Id="rId2" Type="http://schemas.openxmlformats.org/officeDocument/2006/relationships/hyperlink" Target="https://www.abbott.com/en-us/homepage" TargetMode="External"/><Relationship Id="rId1" Type="http://schemas.openxmlformats.org/officeDocument/2006/relationships/hyperlink" Target="https://d18rn0p25nwr6d.cloudfront.net/CIK-0001145197/c5bd9e29-b4db-468c-8cad-bb8d3f08960e.pdf" TargetMode="External"/><Relationship Id="rId5" Type="http://schemas.openxmlformats.org/officeDocument/2006/relationships/hyperlink" Target="https://pages.stern.nyu.edu/~adamodar/New_Home_Page/datacurrent.html" TargetMode="External"/><Relationship Id="rId4" Type="http://schemas.openxmlformats.org/officeDocument/2006/relationships/hyperlink" Target="https://pages.stern.nyu.edu/~adamodar/New_Home_Page/datafile/psdata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andviewresearch.com/industry-analysis/digital-health-market" TargetMode="External"/><Relationship Id="rId2" Type="http://schemas.openxmlformats.org/officeDocument/2006/relationships/hyperlink" Target="https://www.grandviewresearch.com/industry-analysis/biosensors-market" TargetMode="External"/><Relationship Id="rId1" Type="http://schemas.openxmlformats.org/officeDocument/2006/relationships/hyperlink" Target="https://www.grandviewresearch.com/industry-analysis/continuous-glucose-monitoring-market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www.mordorintelligence.com/industry-reports/diabetes-care-drugs-and-devices-market" TargetMode="External"/><Relationship Id="rId4" Type="http://schemas.openxmlformats.org/officeDocument/2006/relationships/hyperlink" Target="https://www.grandviewresearch.com/industry-analysis/wearable-medical-devices-mark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B7B0-BB09-402F-AD1E-5A93382CFB31}">
  <sheetPr>
    <tabColor theme="5" tint="0.79998168889431442"/>
  </sheetPr>
  <dimension ref="A1:P124"/>
  <sheetViews>
    <sheetView topLeftCell="A96" zoomScale="90" zoomScaleNormal="90" workbookViewId="0">
      <selection activeCell="B20" sqref="B20"/>
    </sheetView>
  </sheetViews>
  <sheetFormatPr defaultRowHeight="14.4" x14ac:dyDescent="0.3"/>
  <cols>
    <col min="1" max="1" width="62.33203125" customWidth="1"/>
    <col min="2" max="2" width="15.5546875" customWidth="1"/>
    <col min="3" max="3" width="13.88671875" customWidth="1"/>
    <col min="4" max="4" width="15.77734375" customWidth="1"/>
    <col min="9" max="9" width="11.109375" bestFit="1" customWidth="1"/>
    <col min="13" max="13" width="21.6640625" bestFit="1" customWidth="1"/>
  </cols>
  <sheetData>
    <row r="1" spans="1:7" x14ac:dyDescent="0.3">
      <c r="A1" s="5" t="s">
        <v>347</v>
      </c>
    </row>
    <row r="3" spans="1:7" ht="15.6" x14ac:dyDescent="0.3">
      <c r="A3" s="17" t="s">
        <v>1</v>
      </c>
    </row>
    <row r="4" spans="1:7" ht="15" thickBot="1" x14ac:dyDescent="0.35">
      <c r="A4" s="5" t="s">
        <v>95</v>
      </c>
      <c r="B4" s="19">
        <v>2025</v>
      </c>
      <c r="C4" s="19">
        <v>2024</v>
      </c>
      <c r="D4" s="19">
        <v>2023</v>
      </c>
      <c r="E4" s="19">
        <v>2022</v>
      </c>
      <c r="F4" s="19">
        <v>2021</v>
      </c>
      <c r="G4" s="19">
        <v>2020</v>
      </c>
    </row>
    <row r="5" spans="1:7" x14ac:dyDescent="0.3">
      <c r="A5" t="s">
        <v>97</v>
      </c>
      <c r="B5">
        <v>4662</v>
      </c>
      <c r="C5">
        <v>4033</v>
      </c>
      <c r="D5">
        <v>3622.3</v>
      </c>
      <c r="E5">
        <v>2909.8</v>
      </c>
      <c r="F5">
        <v>2448.5</v>
      </c>
      <c r="G5">
        <v>1926.7</v>
      </c>
    </row>
    <row r="6" spans="1:7" x14ac:dyDescent="0.3">
      <c r="A6" t="s">
        <v>6</v>
      </c>
      <c r="B6">
        <v>1860.1</v>
      </c>
      <c r="C6">
        <v>1594.8</v>
      </c>
      <c r="D6">
        <v>1333.4</v>
      </c>
      <c r="E6">
        <v>1026.7</v>
      </c>
      <c r="F6">
        <v>768</v>
      </c>
      <c r="G6">
        <v>646.6</v>
      </c>
    </row>
    <row r="7" spans="1:7" x14ac:dyDescent="0.3">
      <c r="A7" t="s">
        <v>7</v>
      </c>
      <c r="B7">
        <v>2860.1</v>
      </c>
      <c r="C7">
        <v>2438.1999999999998</v>
      </c>
      <c r="D7">
        <v>2288.9</v>
      </c>
      <c r="E7">
        <v>1883.1</v>
      </c>
      <c r="F7">
        <v>1680.5</v>
      </c>
      <c r="G7">
        <v>1280.0999999999999</v>
      </c>
    </row>
    <row r="8" spans="1:7" x14ac:dyDescent="0.3">
      <c r="A8" t="s">
        <v>8</v>
      </c>
    </row>
    <row r="9" spans="1:7" x14ac:dyDescent="0.3">
      <c r="A9" t="s">
        <v>86</v>
      </c>
      <c r="B9">
        <v>599.1</v>
      </c>
      <c r="C9">
        <v>552.4</v>
      </c>
      <c r="D9">
        <v>505.8</v>
      </c>
      <c r="E9">
        <v>484.2</v>
      </c>
      <c r="F9">
        <v>517.1</v>
      </c>
      <c r="G9">
        <v>359.9</v>
      </c>
    </row>
    <row r="10" spans="1:7" x14ac:dyDescent="0.3">
      <c r="A10" t="s">
        <v>9</v>
      </c>
      <c r="B10">
        <v>1291</v>
      </c>
      <c r="C10">
        <v>1285.8</v>
      </c>
      <c r="D10">
        <v>1185.4000000000001</v>
      </c>
      <c r="E10">
        <v>1000.2</v>
      </c>
      <c r="F10">
        <v>806.8</v>
      </c>
      <c r="G10">
        <v>618.20000000000005</v>
      </c>
    </row>
    <row r="11" spans="1:7" x14ac:dyDescent="0.3">
      <c r="A11" t="s">
        <v>10</v>
      </c>
      <c r="B11">
        <v>1890.1</v>
      </c>
      <c r="C11">
        <v>1838.2</v>
      </c>
      <c r="D11">
        <v>1691.2</v>
      </c>
      <c r="E11">
        <v>1419.9</v>
      </c>
      <c r="F11">
        <v>1414.7</v>
      </c>
      <c r="G11">
        <v>980.6</v>
      </c>
    </row>
    <row r="12" spans="1:7" x14ac:dyDescent="0.3">
      <c r="A12" t="s">
        <v>11</v>
      </c>
      <c r="B12">
        <v>911.8</v>
      </c>
      <c r="C12">
        <v>600</v>
      </c>
      <c r="D12">
        <v>597.70000000000005</v>
      </c>
      <c r="E12">
        <v>391.2</v>
      </c>
      <c r="F12">
        <v>265.8</v>
      </c>
      <c r="G12">
        <v>299.5</v>
      </c>
    </row>
    <row r="13" spans="1:7" x14ac:dyDescent="0.3">
      <c r="A13" t="s">
        <v>12</v>
      </c>
      <c r="B13">
        <v>176.6</v>
      </c>
      <c r="C13">
        <v>109</v>
      </c>
      <c r="D13">
        <v>112.7</v>
      </c>
    </row>
    <row r="14" spans="1:7" x14ac:dyDescent="0.3">
      <c r="A14" t="s">
        <v>13</v>
      </c>
      <c r="B14">
        <v>1088.4000000000001</v>
      </c>
      <c r="C14">
        <v>709</v>
      </c>
      <c r="D14">
        <v>710.4</v>
      </c>
      <c r="E14">
        <v>390.8</v>
      </c>
      <c r="F14">
        <v>256.8</v>
      </c>
      <c r="G14">
        <v>297.89999999999998</v>
      </c>
    </row>
    <row r="15" spans="1:7" x14ac:dyDescent="0.3">
      <c r="A15" t="s">
        <v>14</v>
      </c>
      <c r="B15">
        <v>836.3</v>
      </c>
      <c r="C15">
        <v>576.20000000000005</v>
      </c>
      <c r="D15">
        <v>541.5</v>
      </c>
      <c r="E15">
        <v>49.6</v>
      </c>
      <c r="F15">
        <v>39.9</v>
      </c>
      <c r="G15">
        <v>251.8</v>
      </c>
    </row>
    <row r="16" spans="1:7" x14ac:dyDescent="0.3">
      <c r="A16" t="s">
        <v>0</v>
      </c>
      <c r="B16">
        <v>836.3</v>
      </c>
      <c r="C16">
        <v>576.20000000000005</v>
      </c>
      <c r="D16">
        <v>541.5</v>
      </c>
      <c r="E16">
        <v>341.2</v>
      </c>
      <c r="F16">
        <v>216.9</v>
      </c>
      <c r="G16">
        <v>549.70000000000005</v>
      </c>
    </row>
    <row r="18" spans="1:7" x14ac:dyDescent="0.3">
      <c r="A18" t="s">
        <v>15</v>
      </c>
      <c r="B18">
        <v>2.14</v>
      </c>
      <c r="C18">
        <v>1.46</v>
      </c>
      <c r="D18">
        <v>1.4</v>
      </c>
      <c r="E18">
        <v>0.88</v>
      </c>
      <c r="F18">
        <v>0.56000000000000005</v>
      </c>
      <c r="G18">
        <v>1.46</v>
      </c>
    </row>
    <row r="19" spans="1:7" x14ac:dyDescent="0.3">
      <c r="A19" t="s">
        <v>16</v>
      </c>
      <c r="B19">
        <v>390.2</v>
      </c>
      <c r="C19">
        <v>393.6</v>
      </c>
      <c r="D19">
        <v>386</v>
      </c>
      <c r="E19">
        <v>389.4</v>
      </c>
      <c r="F19">
        <v>386.9</v>
      </c>
      <c r="G19">
        <v>377.5</v>
      </c>
    </row>
    <row r="20" spans="1:7" x14ac:dyDescent="0.3">
      <c r="A20" t="s">
        <v>17</v>
      </c>
      <c r="B20">
        <v>2.09</v>
      </c>
      <c r="C20">
        <v>1.42</v>
      </c>
      <c r="D20">
        <v>1.3</v>
      </c>
      <c r="E20">
        <v>0.82</v>
      </c>
      <c r="F20">
        <v>0.53</v>
      </c>
      <c r="G20">
        <v>1.33</v>
      </c>
    </row>
    <row r="21" spans="1:7" x14ac:dyDescent="0.3">
      <c r="A21" t="s">
        <v>18</v>
      </c>
      <c r="B21">
        <v>405.5</v>
      </c>
      <c r="C21">
        <v>412.7</v>
      </c>
      <c r="D21">
        <v>425.5</v>
      </c>
      <c r="E21">
        <v>427.5</v>
      </c>
      <c r="F21">
        <v>428.8</v>
      </c>
      <c r="G21">
        <v>420.4</v>
      </c>
    </row>
    <row r="24" spans="1:7" ht="15.6" x14ac:dyDescent="0.3">
      <c r="A24" s="17" t="s">
        <v>19</v>
      </c>
    </row>
    <row r="25" spans="1:7" x14ac:dyDescent="0.3">
      <c r="A25" s="5" t="s">
        <v>95</v>
      </c>
      <c r="B25" s="20">
        <v>2025</v>
      </c>
      <c r="C25" s="20">
        <v>2024</v>
      </c>
      <c r="D25" s="20">
        <v>2023</v>
      </c>
      <c r="E25" s="20">
        <v>2022</v>
      </c>
      <c r="F25" s="20">
        <v>2021</v>
      </c>
      <c r="G25" s="6"/>
    </row>
    <row r="26" spans="1:7" x14ac:dyDescent="0.3">
      <c r="A26" s="7" t="s">
        <v>20</v>
      </c>
    </row>
    <row r="27" spans="1:7" x14ac:dyDescent="0.3">
      <c r="A27" t="s">
        <v>21</v>
      </c>
    </row>
    <row r="28" spans="1:7" x14ac:dyDescent="0.3">
      <c r="A28" t="s">
        <v>22</v>
      </c>
      <c r="B28">
        <v>917.7</v>
      </c>
      <c r="C28">
        <v>606.1</v>
      </c>
      <c r="D28">
        <v>566.29999999999995</v>
      </c>
      <c r="E28">
        <v>642.29999999999995</v>
      </c>
      <c r="F28">
        <v>1052.5999999999999</v>
      </c>
    </row>
    <row r="29" spans="1:7" x14ac:dyDescent="0.3">
      <c r="A29" t="s">
        <v>23</v>
      </c>
      <c r="B29">
        <v>1081</v>
      </c>
      <c r="C29">
        <v>1973.3</v>
      </c>
      <c r="D29">
        <v>2157.8000000000002</v>
      </c>
      <c r="E29">
        <v>1813.9</v>
      </c>
      <c r="F29">
        <v>1678.6</v>
      </c>
    </row>
    <row r="30" spans="1:7" x14ac:dyDescent="0.3">
      <c r="A30" t="s">
        <v>68</v>
      </c>
      <c r="B30">
        <v>1216.0999999999999</v>
      </c>
      <c r="C30">
        <v>1005.7</v>
      </c>
      <c r="D30">
        <v>973.9</v>
      </c>
      <c r="E30">
        <v>713.3</v>
      </c>
      <c r="F30">
        <v>514.29999999999995</v>
      </c>
    </row>
    <row r="31" spans="1:7" x14ac:dyDescent="0.3">
      <c r="A31" t="s">
        <v>24</v>
      </c>
      <c r="B31">
        <v>629.1</v>
      </c>
      <c r="C31">
        <v>542.6</v>
      </c>
      <c r="D31">
        <v>559.6</v>
      </c>
      <c r="E31">
        <v>306.7</v>
      </c>
      <c r="F31">
        <v>357.3</v>
      </c>
    </row>
    <row r="32" spans="1:7" x14ac:dyDescent="0.3">
      <c r="A32" t="s">
        <v>25</v>
      </c>
      <c r="B32">
        <v>189.4</v>
      </c>
      <c r="C32">
        <v>173.7</v>
      </c>
      <c r="D32">
        <v>168.3</v>
      </c>
      <c r="E32">
        <v>192.6</v>
      </c>
      <c r="F32">
        <v>81.599999999999994</v>
      </c>
    </row>
    <row r="33" spans="1:6" x14ac:dyDescent="0.3">
      <c r="A33" t="s">
        <v>26</v>
      </c>
      <c r="B33">
        <v>4033.3</v>
      </c>
      <c r="C33">
        <v>4301.3999999999996</v>
      </c>
      <c r="D33">
        <v>4425.8999999999996</v>
      </c>
      <c r="E33">
        <v>3668.8</v>
      </c>
      <c r="F33">
        <v>3684.4</v>
      </c>
    </row>
    <row r="34" spans="1:6" x14ac:dyDescent="0.3">
      <c r="A34" t="s">
        <v>27</v>
      </c>
      <c r="B34">
        <v>1559.9</v>
      </c>
      <c r="C34">
        <v>1339.9</v>
      </c>
      <c r="D34">
        <v>1113.0999999999999</v>
      </c>
      <c r="E34">
        <v>1055.5999999999999</v>
      </c>
      <c r="F34">
        <v>801.8</v>
      </c>
    </row>
    <row r="35" spans="1:6" x14ac:dyDescent="0.3">
      <c r="A35" t="s">
        <v>28</v>
      </c>
      <c r="B35">
        <v>77.400000000000006</v>
      </c>
      <c r="C35">
        <v>62.8</v>
      </c>
      <c r="D35">
        <v>71.400000000000006</v>
      </c>
      <c r="E35">
        <v>80</v>
      </c>
      <c r="F35">
        <v>88.1</v>
      </c>
    </row>
    <row r="36" spans="1:6" x14ac:dyDescent="0.3">
      <c r="A36" t="s">
        <v>29</v>
      </c>
      <c r="B36">
        <v>24.2</v>
      </c>
      <c r="C36">
        <v>22.8</v>
      </c>
      <c r="D36">
        <v>25.2</v>
      </c>
      <c r="E36">
        <v>25.7</v>
      </c>
      <c r="F36">
        <v>26.5</v>
      </c>
    </row>
    <row r="37" spans="1:6" x14ac:dyDescent="0.3">
      <c r="A37" t="s">
        <v>30</v>
      </c>
      <c r="B37">
        <v>70.8</v>
      </c>
      <c r="C37">
        <v>103.4</v>
      </c>
      <c r="D37">
        <v>134.5</v>
      </c>
      <c r="E37">
        <v>173.3</v>
      </c>
      <c r="F37">
        <v>31.5</v>
      </c>
    </row>
    <row r="38" spans="1:6" x14ac:dyDescent="0.3">
      <c r="A38" t="s">
        <v>31</v>
      </c>
      <c r="B38">
        <v>295.60000000000002</v>
      </c>
      <c r="C38">
        <v>481.2</v>
      </c>
      <c r="D38">
        <v>419.4</v>
      </c>
      <c r="E38">
        <v>341.2</v>
      </c>
      <c r="F38">
        <v>290.5</v>
      </c>
    </row>
    <row r="39" spans="1:6" x14ac:dyDescent="0.3">
      <c r="A39" t="s">
        <v>32</v>
      </c>
      <c r="B39">
        <v>278.7</v>
      </c>
      <c r="C39">
        <v>173</v>
      </c>
      <c r="D39">
        <v>75</v>
      </c>
      <c r="E39">
        <v>47.1</v>
      </c>
      <c r="F39">
        <v>10.5</v>
      </c>
    </row>
    <row r="40" spans="1:6" x14ac:dyDescent="0.3">
      <c r="A40" t="s">
        <v>33</v>
      </c>
      <c r="B40">
        <v>6339.9</v>
      </c>
      <c r="C40">
        <v>6484.5</v>
      </c>
      <c r="D40">
        <v>6264.5</v>
      </c>
      <c r="E40">
        <v>5391.7</v>
      </c>
      <c r="F40">
        <v>4933.3</v>
      </c>
    </row>
    <row r="41" spans="1:6" x14ac:dyDescent="0.3">
      <c r="A41" s="7" t="s">
        <v>96</v>
      </c>
    </row>
    <row r="42" spans="1:6" x14ac:dyDescent="0.3">
      <c r="A42" t="s">
        <v>34</v>
      </c>
    </row>
    <row r="43" spans="1:6" x14ac:dyDescent="0.3">
      <c r="A43" t="s">
        <v>35</v>
      </c>
      <c r="B43">
        <v>1944</v>
      </c>
      <c r="C43">
        <v>1585.1</v>
      </c>
      <c r="D43">
        <v>1345.5</v>
      </c>
      <c r="E43">
        <v>901.8</v>
      </c>
      <c r="F43">
        <v>573</v>
      </c>
    </row>
    <row r="44" spans="1:6" x14ac:dyDescent="0.3">
      <c r="A44" t="s">
        <v>36</v>
      </c>
      <c r="B44">
        <v>169.2</v>
      </c>
      <c r="C44">
        <v>112</v>
      </c>
      <c r="D44">
        <v>171</v>
      </c>
      <c r="E44">
        <v>134.30000000000001</v>
      </c>
      <c r="F44">
        <v>125.2</v>
      </c>
    </row>
    <row r="45" spans="1:6" x14ac:dyDescent="0.3">
      <c r="A45" t="s">
        <v>37</v>
      </c>
      <c r="C45">
        <v>1204.4000000000001</v>
      </c>
      <c r="E45">
        <v>772.6</v>
      </c>
    </row>
    <row r="46" spans="1:6" x14ac:dyDescent="0.3">
      <c r="A46" t="s">
        <v>38</v>
      </c>
      <c r="B46">
        <v>21.6</v>
      </c>
      <c r="C46">
        <v>22.5</v>
      </c>
      <c r="D46">
        <v>21.1</v>
      </c>
      <c r="E46">
        <v>20.5</v>
      </c>
      <c r="F46">
        <v>20.5</v>
      </c>
    </row>
    <row r="47" spans="1:6" x14ac:dyDescent="0.3">
      <c r="A47" t="s">
        <v>39</v>
      </c>
      <c r="B47">
        <v>7.7</v>
      </c>
      <c r="C47">
        <v>8</v>
      </c>
      <c r="D47">
        <v>18.399999999999999</v>
      </c>
      <c r="E47">
        <v>10.1</v>
      </c>
      <c r="F47">
        <v>2.1</v>
      </c>
    </row>
    <row r="48" spans="1:6" x14ac:dyDescent="0.3">
      <c r="A48" t="s">
        <v>40</v>
      </c>
      <c r="B48">
        <v>2142.5</v>
      </c>
      <c r="C48">
        <v>2932</v>
      </c>
      <c r="D48">
        <v>1556</v>
      </c>
      <c r="E48">
        <v>1839.3</v>
      </c>
      <c r="F48">
        <v>720.8</v>
      </c>
    </row>
    <row r="49" spans="1:6" x14ac:dyDescent="0.3">
      <c r="A49" t="s">
        <v>41</v>
      </c>
      <c r="B49" s="12">
        <v>1240.9000000000001</v>
      </c>
      <c r="C49">
        <v>1237</v>
      </c>
      <c r="D49">
        <v>2434.1999999999998</v>
      </c>
      <c r="E49">
        <v>1197.7</v>
      </c>
      <c r="F49">
        <v>1981.8</v>
      </c>
    </row>
    <row r="50" spans="1:6" x14ac:dyDescent="0.3">
      <c r="A50" t="s">
        <v>42</v>
      </c>
      <c r="B50">
        <v>73.400000000000006</v>
      </c>
      <c r="C50">
        <v>65</v>
      </c>
      <c r="D50">
        <v>80.099999999999994</v>
      </c>
      <c r="E50">
        <v>94.6</v>
      </c>
      <c r="F50">
        <v>98.6</v>
      </c>
    </row>
    <row r="51" spans="1:6" x14ac:dyDescent="0.3">
      <c r="A51" t="s">
        <v>43</v>
      </c>
      <c r="B51">
        <v>137.1</v>
      </c>
      <c r="C51">
        <v>147.9</v>
      </c>
      <c r="D51">
        <v>125.6</v>
      </c>
      <c r="E51">
        <v>128.30000000000001</v>
      </c>
      <c r="F51">
        <v>90</v>
      </c>
    </row>
    <row r="52" spans="1:6" x14ac:dyDescent="0.3">
      <c r="A52" t="s">
        <v>44</v>
      </c>
      <c r="B52">
        <v>3593.9</v>
      </c>
      <c r="C52">
        <v>4381.8999999999996</v>
      </c>
      <c r="D52">
        <v>4195.8999999999996</v>
      </c>
      <c r="E52">
        <v>3259.9</v>
      </c>
      <c r="F52">
        <v>2891.2</v>
      </c>
    </row>
    <row r="54" spans="1:6" x14ac:dyDescent="0.3">
      <c r="A54" t="s">
        <v>45</v>
      </c>
    </row>
    <row r="55" spans="1:6" ht="57.6" x14ac:dyDescent="0.3">
      <c r="A55" s="4" t="s">
        <v>46</v>
      </c>
      <c r="B55">
        <v>0.4</v>
      </c>
      <c r="C55">
        <v>0.4</v>
      </c>
      <c r="D55">
        <v>0.4</v>
      </c>
      <c r="E55" s="10">
        <v>2.7777777777777779E-3</v>
      </c>
      <c r="F55">
        <v>0.4</v>
      </c>
    </row>
    <row r="56" spans="1:6" x14ac:dyDescent="0.3">
      <c r="A56" t="s">
        <v>47</v>
      </c>
      <c r="B56">
        <v>2281.5</v>
      </c>
      <c r="C56">
        <v>2093.8000000000002</v>
      </c>
      <c r="D56">
        <v>3514.6</v>
      </c>
      <c r="E56">
        <v>2258.1</v>
      </c>
      <c r="F56">
        <v>2108.6999999999998</v>
      </c>
    </row>
    <row r="57" spans="1:6" x14ac:dyDescent="0.3">
      <c r="A57" t="s">
        <v>48</v>
      </c>
      <c r="B57">
        <v>115</v>
      </c>
      <c r="C57">
        <v>8</v>
      </c>
      <c r="D57">
        <v>16.7</v>
      </c>
      <c r="E57">
        <v>11.6</v>
      </c>
      <c r="F57">
        <v>0.5</v>
      </c>
    </row>
    <row r="58" spans="1:6" x14ac:dyDescent="0.3">
      <c r="A58" t="s">
        <v>49</v>
      </c>
      <c r="B58">
        <v>2433.9</v>
      </c>
      <c r="C58">
        <v>1597.6</v>
      </c>
      <c r="D58">
        <v>1021.4</v>
      </c>
      <c r="E58">
        <v>479.9</v>
      </c>
      <c r="F58">
        <v>138.69999999999999</v>
      </c>
    </row>
    <row r="59" spans="1:6" ht="28.8" x14ac:dyDescent="0.3">
      <c r="A59" s="4" t="s">
        <v>158</v>
      </c>
      <c r="B59">
        <v>2084.8000000000002</v>
      </c>
      <c r="C59">
        <v>1581.2</v>
      </c>
      <c r="D59">
        <v>2451.1</v>
      </c>
      <c r="E59">
        <v>595</v>
      </c>
      <c r="F59">
        <v>206.2</v>
      </c>
    </row>
    <row r="60" spans="1:6" x14ac:dyDescent="0.3">
      <c r="A60" t="s">
        <v>50</v>
      </c>
      <c r="B60">
        <v>2746</v>
      </c>
      <c r="C60">
        <v>2102.6</v>
      </c>
      <c r="D60">
        <v>2068.6</v>
      </c>
      <c r="E60">
        <v>2131.8000000000002</v>
      </c>
      <c r="F60">
        <v>2042.1</v>
      </c>
    </row>
    <row r="61" spans="1:6" x14ac:dyDescent="0.3">
      <c r="A61" t="s">
        <v>51</v>
      </c>
      <c r="B61">
        <v>6339.9</v>
      </c>
      <c r="C61">
        <v>6484.5</v>
      </c>
      <c r="D61">
        <v>6264.5</v>
      </c>
      <c r="E61">
        <v>5391.7</v>
      </c>
      <c r="F61">
        <v>4933.3</v>
      </c>
    </row>
    <row r="65" spans="1:4" ht="15.6" x14ac:dyDescent="0.3">
      <c r="A65" s="17" t="s">
        <v>116</v>
      </c>
    </row>
    <row r="66" spans="1:4" x14ac:dyDescent="0.3">
      <c r="A66" s="21" t="s">
        <v>117</v>
      </c>
      <c r="B66" s="6">
        <v>2025</v>
      </c>
      <c r="C66" s="6">
        <v>2024</v>
      </c>
      <c r="D66" s="6">
        <v>2023</v>
      </c>
    </row>
    <row r="67" spans="1:4" x14ac:dyDescent="0.3">
      <c r="A67" s="7" t="s">
        <v>118</v>
      </c>
    </row>
    <row r="68" spans="1:4" x14ac:dyDescent="0.3">
      <c r="A68" t="s">
        <v>0</v>
      </c>
      <c r="B68">
        <v>836.3</v>
      </c>
      <c r="C68">
        <v>576.20000000000005</v>
      </c>
      <c r="D68">
        <v>541.5</v>
      </c>
    </row>
    <row r="69" spans="1:4" x14ac:dyDescent="0.3">
      <c r="A69" t="s">
        <v>119</v>
      </c>
    </row>
    <row r="70" spans="1:4" x14ac:dyDescent="0.3">
      <c r="A70" s="4" t="s">
        <v>120</v>
      </c>
      <c r="B70">
        <v>251.8</v>
      </c>
      <c r="C70">
        <v>217.7</v>
      </c>
      <c r="D70">
        <v>186</v>
      </c>
    </row>
    <row r="71" spans="1:4" x14ac:dyDescent="0.3">
      <c r="A71" t="s">
        <v>121</v>
      </c>
      <c r="B71">
        <v>159.6</v>
      </c>
      <c r="C71">
        <v>170.4</v>
      </c>
      <c r="D71">
        <v>150.80000000000001</v>
      </c>
    </row>
    <row r="72" spans="1:4" x14ac:dyDescent="0.3">
      <c r="A72" t="s">
        <v>122</v>
      </c>
      <c r="B72">
        <v>7.3</v>
      </c>
      <c r="C72">
        <v>7.5</v>
      </c>
      <c r="D72">
        <v>7.8</v>
      </c>
    </row>
    <row r="73" spans="1:4" x14ac:dyDescent="0.3">
      <c r="A73" t="s">
        <v>123</v>
      </c>
      <c r="B73">
        <v>182.2</v>
      </c>
      <c r="C73">
        <v>43.8</v>
      </c>
      <c r="D73">
        <v>55</v>
      </c>
    </row>
    <row r="74" spans="1:4" x14ac:dyDescent="0.3">
      <c r="A74" t="s">
        <v>124</v>
      </c>
      <c r="B74">
        <v>78.099999999999994</v>
      </c>
      <c r="C74">
        <v>1.4</v>
      </c>
      <c r="D74">
        <v>1.9</v>
      </c>
    </row>
    <row r="75" spans="1:4" x14ac:dyDescent="0.3">
      <c r="A75" t="s">
        <v>125</v>
      </c>
      <c r="B75">
        <v>21.8</v>
      </c>
      <c r="C75">
        <v>48.7</v>
      </c>
      <c r="D75">
        <v>83.9</v>
      </c>
    </row>
    <row r="76" spans="1:4" x14ac:dyDescent="0.3">
      <c r="A76" t="s">
        <v>126</v>
      </c>
    </row>
    <row r="77" spans="1:4" x14ac:dyDescent="0.3">
      <c r="A77" t="s">
        <v>127</v>
      </c>
      <c r="B77">
        <v>201.9</v>
      </c>
      <c r="C77">
        <v>35</v>
      </c>
      <c r="D77">
        <v>260.10000000000002</v>
      </c>
    </row>
    <row r="78" spans="1:4" x14ac:dyDescent="0.3">
      <c r="A78" t="s">
        <v>128</v>
      </c>
      <c r="B78">
        <v>63.7</v>
      </c>
      <c r="C78">
        <v>12.4</v>
      </c>
      <c r="D78">
        <v>252.6</v>
      </c>
    </row>
    <row r="79" spans="1:4" x14ac:dyDescent="0.3">
      <c r="A79" t="s">
        <v>129</v>
      </c>
      <c r="B79">
        <v>14.8</v>
      </c>
      <c r="C79">
        <v>5.8</v>
      </c>
      <c r="D79">
        <v>19.3</v>
      </c>
    </row>
    <row r="80" spans="1:4" x14ac:dyDescent="0.3">
      <c r="A80" t="s">
        <v>130</v>
      </c>
      <c r="B80">
        <v>7.1</v>
      </c>
      <c r="C80">
        <v>6.5</v>
      </c>
      <c r="D80">
        <v>4.5</v>
      </c>
    </row>
    <row r="81" spans="1:4" x14ac:dyDescent="0.3">
      <c r="A81" t="s">
        <v>131</v>
      </c>
      <c r="B81">
        <v>347</v>
      </c>
      <c r="C81">
        <v>211.7</v>
      </c>
      <c r="D81">
        <v>466.5</v>
      </c>
    </row>
    <row r="82" spans="1:4" x14ac:dyDescent="0.3">
      <c r="A82" t="s">
        <v>132</v>
      </c>
      <c r="B82">
        <v>55.4</v>
      </c>
      <c r="C82">
        <v>60</v>
      </c>
      <c r="D82">
        <v>37.200000000000003</v>
      </c>
    </row>
    <row r="83" spans="1:4" x14ac:dyDescent="0.3">
      <c r="A83" t="s">
        <v>133</v>
      </c>
      <c r="B83">
        <v>11.5</v>
      </c>
      <c r="C83">
        <v>8</v>
      </c>
      <c r="D83">
        <v>2.6</v>
      </c>
    </row>
    <row r="84" spans="1:4" x14ac:dyDescent="0.3">
      <c r="A84" s="7" t="s">
        <v>134</v>
      </c>
      <c r="B84" s="7">
        <v>1440.7</v>
      </c>
      <c r="C84" s="7">
        <v>989.5</v>
      </c>
      <c r="D84" s="7">
        <v>748.5</v>
      </c>
    </row>
    <row r="85" spans="1:4" x14ac:dyDescent="0.3">
      <c r="A85" s="7" t="s">
        <v>135</v>
      </c>
    </row>
    <row r="86" spans="1:4" x14ac:dyDescent="0.3">
      <c r="A86" t="s">
        <v>136</v>
      </c>
      <c r="B86">
        <v>1246.5999999999999</v>
      </c>
      <c r="C86">
        <v>2576.3000000000002</v>
      </c>
      <c r="D86">
        <v>3200.4</v>
      </c>
    </row>
    <row r="87" spans="1:4" x14ac:dyDescent="0.3">
      <c r="A87" t="s">
        <v>137</v>
      </c>
      <c r="B87">
        <v>2164.6999999999998</v>
      </c>
      <c r="C87">
        <v>2824.4</v>
      </c>
      <c r="D87">
        <v>2947.4</v>
      </c>
    </row>
    <row r="88" spans="1:4" x14ac:dyDescent="0.3">
      <c r="A88" t="s">
        <v>138</v>
      </c>
      <c r="B88">
        <v>363.5</v>
      </c>
      <c r="C88">
        <v>358.8</v>
      </c>
      <c r="D88">
        <v>236.6</v>
      </c>
    </row>
    <row r="89" spans="1:4" x14ac:dyDescent="0.3">
      <c r="A89" t="s">
        <v>139</v>
      </c>
      <c r="B89">
        <v>19.2</v>
      </c>
      <c r="C89">
        <v>81.3</v>
      </c>
      <c r="D89">
        <v>19.5</v>
      </c>
    </row>
    <row r="90" spans="1:4" x14ac:dyDescent="0.3">
      <c r="A90" t="s">
        <v>140</v>
      </c>
      <c r="B90">
        <v>0.6</v>
      </c>
      <c r="C90">
        <v>15.5</v>
      </c>
      <c r="D90">
        <v>1.9</v>
      </c>
    </row>
    <row r="91" spans="1:4" x14ac:dyDescent="0.3">
      <c r="A91" s="7" t="s">
        <v>141</v>
      </c>
      <c r="B91" s="7">
        <v>536</v>
      </c>
      <c r="C91" s="7">
        <v>207.5</v>
      </c>
      <c r="D91" s="7">
        <v>507.2</v>
      </c>
    </row>
    <row r="92" spans="1:4" x14ac:dyDescent="0.3">
      <c r="A92" s="7" t="s">
        <v>142</v>
      </c>
    </row>
    <row r="93" spans="1:4" x14ac:dyDescent="0.3">
      <c r="A93" t="s">
        <v>143</v>
      </c>
      <c r="B93">
        <v>28.1</v>
      </c>
      <c r="C93">
        <v>28.2</v>
      </c>
      <c r="D93">
        <v>26.6</v>
      </c>
    </row>
    <row r="94" spans="1:4" x14ac:dyDescent="0.3">
      <c r="A94" t="s">
        <v>144</v>
      </c>
      <c r="B94">
        <v>500</v>
      </c>
      <c r="C94">
        <v>750</v>
      </c>
      <c r="D94">
        <v>688.7</v>
      </c>
    </row>
    <row r="95" spans="1:4" x14ac:dyDescent="0.3">
      <c r="A95" t="s">
        <v>145</v>
      </c>
      <c r="D95">
        <v>1230.5999999999999</v>
      </c>
    </row>
    <row r="96" spans="1:4" x14ac:dyDescent="0.3">
      <c r="A96" t="s">
        <v>146</v>
      </c>
      <c r="D96">
        <v>101.3</v>
      </c>
    </row>
    <row r="97" spans="1:16" x14ac:dyDescent="0.3">
      <c r="A97" t="s">
        <v>147</v>
      </c>
      <c r="D97">
        <v>787.3</v>
      </c>
    </row>
    <row r="98" spans="1:16" x14ac:dyDescent="0.3">
      <c r="A98" t="s">
        <v>148</v>
      </c>
      <c r="B98">
        <v>1207.5</v>
      </c>
    </row>
    <row r="99" spans="1:16" x14ac:dyDescent="0.3">
      <c r="A99" t="s">
        <v>149</v>
      </c>
      <c r="B99">
        <v>7</v>
      </c>
      <c r="C99">
        <v>13</v>
      </c>
      <c r="D99">
        <v>1.5</v>
      </c>
    </row>
    <row r="100" spans="1:16" x14ac:dyDescent="0.3">
      <c r="A100" s="7" t="s">
        <v>150</v>
      </c>
      <c r="B100" s="7">
        <v>1686.4</v>
      </c>
      <c r="C100" s="7">
        <v>734.8</v>
      </c>
      <c r="D100" s="7">
        <v>318.60000000000002</v>
      </c>
    </row>
    <row r="101" spans="1:16" x14ac:dyDescent="0.3">
      <c r="A101" t="s">
        <v>151</v>
      </c>
      <c r="B101">
        <v>21.5</v>
      </c>
      <c r="C101">
        <v>7.4</v>
      </c>
      <c r="D101">
        <v>1.5</v>
      </c>
    </row>
    <row r="102" spans="1:16" x14ac:dyDescent="0.3">
      <c r="A102" t="s">
        <v>152</v>
      </c>
      <c r="B102">
        <v>311.8</v>
      </c>
      <c r="C102">
        <v>39.799999999999997</v>
      </c>
      <c r="D102">
        <v>75.8</v>
      </c>
    </row>
    <row r="103" spans="1:16" x14ac:dyDescent="0.3">
      <c r="A103" t="s">
        <v>153</v>
      </c>
      <c r="B103">
        <v>607.29999999999995</v>
      </c>
      <c r="C103">
        <v>567.5</v>
      </c>
      <c r="D103">
        <v>643.29999999999995</v>
      </c>
    </row>
    <row r="104" spans="1:16" x14ac:dyDescent="0.3">
      <c r="A104" s="7" t="s">
        <v>153</v>
      </c>
      <c r="B104" s="7">
        <v>919.1</v>
      </c>
      <c r="C104" s="7">
        <v>607.29999999999995</v>
      </c>
      <c r="D104" s="7">
        <v>567.5</v>
      </c>
    </row>
    <row r="105" spans="1:16" x14ac:dyDescent="0.3">
      <c r="A105" t="s">
        <v>154</v>
      </c>
    </row>
    <row r="106" spans="1:16" x14ac:dyDescent="0.3">
      <c r="A106" t="s">
        <v>155</v>
      </c>
      <c r="B106">
        <v>917.7</v>
      </c>
      <c r="C106">
        <v>606.1</v>
      </c>
      <c r="D106">
        <v>566.29999999999995</v>
      </c>
    </row>
    <row r="107" spans="1:16" x14ac:dyDescent="0.3">
      <c r="A107" t="s">
        <v>156</v>
      </c>
      <c r="B107">
        <v>1.4</v>
      </c>
      <c r="C107">
        <v>1.2</v>
      </c>
      <c r="D107">
        <v>1.2</v>
      </c>
    </row>
    <row r="108" spans="1:16" x14ac:dyDescent="0.3">
      <c r="A108" t="s">
        <v>157</v>
      </c>
      <c r="B108">
        <v>919.1</v>
      </c>
      <c r="C108">
        <v>607.29999999999995</v>
      </c>
      <c r="D108">
        <v>567.5</v>
      </c>
    </row>
    <row r="111" spans="1:16" ht="15.6" x14ac:dyDescent="0.3">
      <c r="A111" s="22" t="s">
        <v>52</v>
      </c>
    </row>
    <row r="112" spans="1:16" x14ac:dyDescent="0.3">
      <c r="A112" s="3"/>
      <c r="B112" s="277">
        <v>2025</v>
      </c>
      <c r="C112" s="278"/>
      <c r="D112" s="279"/>
      <c r="E112" s="277">
        <v>2024</v>
      </c>
      <c r="F112" s="278"/>
      <c r="G112" s="279"/>
      <c r="H112" s="276">
        <v>2023</v>
      </c>
      <c r="I112" s="276"/>
      <c r="J112" s="276"/>
      <c r="M112" s="276" t="s">
        <v>56</v>
      </c>
      <c r="N112" s="276"/>
      <c r="O112" s="276"/>
      <c r="P112" s="276"/>
    </row>
    <row r="113" spans="1:16" x14ac:dyDescent="0.3">
      <c r="A113" s="3" t="s">
        <v>52</v>
      </c>
      <c r="B113" s="3" t="s">
        <v>56</v>
      </c>
      <c r="C113" s="3" t="s">
        <v>57</v>
      </c>
      <c r="D113" s="3" t="s">
        <v>58</v>
      </c>
      <c r="E113" s="3" t="s">
        <v>56</v>
      </c>
      <c r="F113" s="3" t="s">
        <v>57</v>
      </c>
      <c r="G113" s="3" t="s">
        <v>58</v>
      </c>
      <c r="H113" s="3" t="s">
        <v>56</v>
      </c>
      <c r="I113" s="3" t="s">
        <v>57</v>
      </c>
      <c r="J113" s="3" t="s">
        <v>58</v>
      </c>
      <c r="M113" s="3" t="s">
        <v>52</v>
      </c>
      <c r="N113" s="3">
        <v>2025</v>
      </c>
      <c r="O113" s="3">
        <v>2024</v>
      </c>
      <c r="P113" s="3">
        <v>2023</v>
      </c>
    </row>
    <row r="114" spans="1:16" x14ac:dyDescent="0.3">
      <c r="A114" t="s">
        <v>53</v>
      </c>
      <c r="B114">
        <v>3195.7</v>
      </c>
      <c r="C114">
        <v>763.3</v>
      </c>
      <c r="D114">
        <v>3959</v>
      </c>
      <c r="E114" s="8">
        <v>2824.4</v>
      </c>
      <c r="F114">
        <v>605.70000000000005</v>
      </c>
      <c r="G114">
        <v>3430.1</v>
      </c>
      <c r="H114" s="8">
        <v>2587.1999999999998</v>
      </c>
      <c r="I114">
        <v>508.4</v>
      </c>
      <c r="J114">
        <v>3095.6</v>
      </c>
      <c r="M114" s="3" t="s">
        <v>53</v>
      </c>
      <c r="N114" s="3">
        <v>3195.7</v>
      </c>
      <c r="O114" s="3">
        <v>2824.4</v>
      </c>
      <c r="P114" s="3">
        <v>2587.1999999999998</v>
      </c>
    </row>
    <row r="115" spans="1:16" x14ac:dyDescent="0.3">
      <c r="A115" t="s">
        <v>54</v>
      </c>
      <c r="B115">
        <v>139.19999999999999</v>
      </c>
      <c r="C115">
        <v>563.79999999999995</v>
      </c>
      <c r="D115">
        <v>703</v>
      </c>
      <c r="E115" s="8">
        <v>65.400000000000006</v>
      </c>
      <c r="F115">
        <v>537.5</v>
      </c>
      <c r="G115">
        <v>602.9</v>
      </c>
      <c r="H115" s="8">
        <v>38.1</v>
      </c>
      <c r="I115">
        <v>488.6</v>
      </c>
      <c r="J115">
        <v>526.70000000000005</v>
      </c>
      <c r="M115" s="3" t="s">
        <v>54</v>
      </c>
      <c r="N115" s="3">
        <v>139.19999999999999</v>
      </c>
      <c r="O115" s="3">
        <v>65.400000000000006</v>
      </c>
      <c r="P115" s="3">
        <v>38.1</v>
      </c>
    </row>
    <row r="116" spans="1:16" x14ac:dyDescent="0.3">
      <c r="A116" t="s">
        <v>55</v>
      </c>
      <c r="B116">
        <v>3334.9</v>
      </c>
      <c r="C116">
        <v>1327.1</v>
      </c>
      <c r="D116">
        <v>4662</v>
      </c>
      <c r="E116" s="8">
        <v>2889.8</v>
      </c>
      <c r="F116">
        <v>1143.2</v>
      </c>
      <c r="G116">
        <v>4033</v>
      </c>
      <c r="H116" s="8">
        <v>2625.3</v>
      </c>
      <c r="I116">
        <v>997</v>
      </c>
      <c r="J116">
        <v>3622.3</v>
      </c>
    </row>
    <row r="118" spans="1:16" x14ac:dyDescent="0.3">
      <c r="M118" s="276" t="s">
        <v>57</v>
      </c>
      <c r="N118" s="276"/>
      <c r="O118" s="276"/>
      <c r="P118" s="276"/>
    </row>
    <row r="119" spans="1:16" ht="15.6" x14ac:dyDescent="0.3">
      <c r="A119" s="17" t="s">
        <v>59</v>
      </c>
      <c r="M119" s="3" t="s">
        <v>52</v>
      </c>
      <c r="N119" s="3">
        <v>2025</v>
      </c>
      <c r="O119" s="3">
        <v>2024</v>
      </c>
      <c r="P119" s="3">
        <v>2023</v>
      </c>
    </row>
    <row r="120" spans="1:16" x14ac:dyDescent="0.3">
      <c r="A120" s="6" t="s">
        <v>60</v>
      </c>
      <c r="B120" s="6" t="s">
        <v>61</v>
      </c>
      <c r="M120" s="3" t="s">
        <v>53</v>
      </c>
      <c r="N120" s="3">
        <v>763.3</v>
      </c>
      <c r="O120" s="3">
        <v>605.70000000000005</v>
      </c>
      <c r="P120" s="3">
        <v>508.4</v>
      </c>
    </row>
    <row r="121" spans="1:16" x14ac:dyDescent="0.3">
      <c r="A121" t="s">
        <v>62</v>
      </c>
      <c r="B121" t="s">
        <v>66</v>
      </c>
      <c r="M121" s="3" t="s">
        <v>54</v>
      </c>
      <c r="N121" s="3">
        <v>563.79999999999995</v>
      </c>
      <c r="O121" s="3">
        <v>537.5</v>
      </c>
      <c r="P121" s="3">
        <v>488.6</v>
      </c>
    </row>
    <row r="122" spans="1:16" x14ac:dyDescent="0.3">
      <c r="A122" t="s">
        <v>63</v>
      </c>
      <c r="B122" t="s">
        <v>67</v>
      </c>
    </row>
    <row r="123" spans="1:16" x14ac:dyDescent="0.3">
      <c r="A123" t="s">
        <v>64</v>
      </c>
      <c r="B123" t="s">
        <v>67</v>
      </c>
    </row>
    <row r="124" spans="1:16" x14ac:dyDescent="0.3">
      <c r="A124" t="s">
        <v>65</v>
      </c>
      <c r="B124" t="s">
        <v>67</v>
      </c>
    </row>
  </sheetData>
  <mergeCells count="5">
    <mergeCell ref="M112:P112"/>
    <mergeCell ref="M118:P118"/>
    <mergeCell ref="B112:D112"/>
    <mergeCell ref="E112:G112"/>
    <mergeCell ref="H112:J1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B6A5-3338-469C-912A-EEF249F772AB}">
  <sheetPr>
    <tabColor theme="5" tint="0.79998168889431442"/>
  </sheetPr>
  <dimension ref="A1:AB131"/>
  <sheetViews>
    <sheetView topLeftCell="A114" zoomScale="80" zoomScaleNormal="80" workbookViewId="0">
      <selection activeCell="C147" sqref="C147"/>
    </sheetView>
  </sheetViews>
  <sheetFormatPr defaultRowHeight="14.4" x14ac:dyDescent="0.3"/>
  <cols>
    <col min="1" max="1" width="46.33203125" customWidth="1"/>
    <col min="2" max="2" width="9.44140625" customWidth="1"/>
    <col min="3" max="3" width="8.33203125" customWidth="1"/>
    <col min="8" max="8" width="10.88671875" customWidth="1"/>
    <col min="9" max="9" width="11.109375" bestFit="1" customWidth="1"/>
    <col min="13" max="13" width="32.6640625" customWidth="1"/>
    <col min="14" max="14" width="35.5546875" customWidth="1"/>
    <col min="22" max="22" width="29.77734375" customWidth="1"/>
  </cols>
  <sheetData>
    <row r="1" spans="1:20" ht="18" x14ac:dyDescent="0.35">
      <c r="A1" s="18" t="s">
        <v>1</v>
      </c>
    </row>
    <row r="2" spans="1:20" ht="15" thickBot="1" x14ac:dyDescent="0.35">
      <c r="A2" s="5" t="s">
        <v>95</v>
      </c>
      <c r="B2" s="13">
        <v>2025</v>
      </c>
      <c r="C2" s="13">
        <v>2024</v>
      </c>
      <c r="D2" s="13">
        <v>2023</v>
      </c>
      <c r="E2" s="13">
        <v>2022</v>
      </c>
      <c r="F2" s="13">
        <v>2021</v>
      </c>
      <c r="G2" s="13">
        <v>2020</v>
      </c>
      <c r="I2" t="s">
        <v>100</v>
      </c>
      <c r="N2" s="5"/>
      <c r="O2" s="13">
        <v>2020</v>
      </c>
      <c r="P2" s="13">
        <v>2021</v>
      </c>
      <c r="Q2" s="13">
        <v>2022</v>
      </c>
      <c r="R2" s="13">
        <v>2023</v>
      </c>
      <c r="S2" s="13">
        <v>2024</v>
      </c>
      <c r="T2" s="13">
        <v>2025</v>
      </c>
    </row>
    <row r="3" spans="1:20" x14ac:dyDescent="0.3">
      <c r="A3" t="s">
        <v>97</v>
      </c>
      <c r="B3" s="77">
        <v>4662</v>
      </c>
      <c r="C3" s="77">
        <v>4033</v>
      </c>
      <c r="D3" s="77">
        <v>3622.3</v>
      </c>
      <c r="E3" s="77">
        <v>2909.8</v>
      </c>
      <c r="F3" s="77">
        <v>2448.5</v>
      </c>
      <c r="G3" s="77">
        <v>1926.7</v>
      </c>
      <c r="I3" t="s">
        <v>173</v>
      </c>
      <c r="N3" t="s">
        <v>252</v>
      </c>
      <c r="O3" s="38">
        <v>1926.7</v>
      </c>
      <c r="P3" s="38">
        <v>2448.5</v>
      </c>
      <c r="Q3" s="38">
        <v>2909.8</v>
      </c>
      <c r="R3" s="38">
        <v>3622.3</v>
      </c>
      <c r="S3" s="38">
        <v>4033</v>
      </c>
      <c r="T3" s="38">
        <v>4662</v>
      </c>
    </row>
    <row r="4" spans="1:20" x14ac:dyDescent="0.3">
      <c r="A4" t="s">
        <v>6</v>
      </c>
      <c r="B4">
        <v>1860.1</v>
      </c>
      <c r="C4">
        <v>1594.8</v>
      </c>
      <c r="D4">
        <v>1333.4</v>
      </c>
      <c r="E4">
        <v>1026.7</v>
      </c>
      <c r="F4">
        <v>768</v>
      </c>
      <c r="G4">
        <v>646.6</v>
      </c>
      <c r="I4" t="s">
        <v>174</v>
      </c>
      <c r="N4" t="s">
        <v>253</v>
      </c>
      <c r="O4" s="11">
        <v>299.5</v>
      </c>
      <c r="P4" s="11">
        <v>265.8</v>
      </c>
      <c r="Q4" s="11">
        <v>391.2</v>
      </c>
      <c r="R4" s="11">
        <v>597.70000000000005</v>
      </c>
      <c r="S4" s="11">
        <v>600</v>
      </c>
      <c r="T4" s="11">
        <v>911.8</v>
      </c>
    </row>
    <row r="5" spans="1:20" x14ac:dyDescent="0.3">
      <c r="A5" t="s">
        <v>7</v>
      </c>
      <c r="B5">
        <v>2860.1</v>
      </c>
      <c r="C5">
        <v>2438.1999999999998</v>
      </c>
      <c r="D5">
        <v>2288.9</v>
      </c>
      <c r="E5">
        <v>1883.1</v>
      </c>
      <c r="F5">
        <v>1680.5</v>
      </c>
      <c r="G5">
        <v>1280.0999999999999</v>
      </c>
      <c r="I5" t="s">
        <v>175</v>
      </c>
      <c r="N5" t="s">
        <v>251</v>
      </c>
      <c r="O5" s="37">
        <f t="shared" ref="O5:T5" si="0">O4/O3*100</f>
        <v>15.544713759277521</v>
      </c>
      <c r="P5" s="37">
        <f t="shared" si="0"/>
        <v>10.855625893404126</v>
      </c>
      <c r="Q5" s="37">
        <f t="shared" si="0"/>
        <v>13.444222970650902</v>
      </c>
      <c r="R5" s="37">
        <f t="shared" si="0"/>
        <v>16.500565938768187</v>
      </c>
      <c r="S5" s="37">
        <f t="shared" si="0"/>
        <v>14.877262583684603</v>
      </c>
      <c r="T5" s="37">
        <f t="shared" si="0"/>
        <v>19.558129558129558</v>
      </c>
    </row>
    <row r="6" spans="1:20" x14ac:dyDescent="0.3">
      <c r="A6" t="s">
        <v>8</v>
      </c>
      <c r="N6" s="15" t="s">
        <v>254</v>
      </c>
      <c r="O6" s="11">
        <v>359.9</v>
      </c>
      <c r="P6" s="11">
        <v>517.1</v>
      </c>
      <c r="Q6" s="11">
        <v>484.2</v>
      </c>
      <c r="R6" s="11">
        <v>505.8</v>
      </c>
      <c r="S6" s="11">
        <v>552.4</v>
      </c>
      <c r="T6" s="11">
        <v>599.1</v>
      </c>
    </row>
    <row r="7" spans="1:20" x14ac:dyDescent="0.3">
      <c r="A7" t="s">
        <v>86</v>
      </c>
      <c r="B7">
        <v>599.1</v>
      </c>
      <c r="C7">
        <v>552.4</v>
      </c>
      <c r="D7">
        <v>505.8</v>
      </c>
      <c r="E7">
        <v>484.2</v>
      </c>
      <c r="F7">
        <v>517.1</v>
      </c>
      <c r="G7">
        <v>359.9</v>
      </c>
      <c r="I7" t="s">
        <v>176</v>
      </c>
      <c r="N7" t="s">
        <v>255</v>
      </c>
      <c r="P7" s="11">
        <v>27.1</v>
      </c>
      <c r="Q7" s="11">
        <v>18.8</v>
      </c>
      <c r="R7" s="11">
        <v>24.5</v>
      </c>
      <c r="S7" s="11">
        <v>11.3</v>
      </c>
      <c r="T7" s="11">
        <v>15.6</v>
      </c>
    </row>
    <row r="8" spans="1:20" x14ac:dyDescent="0.3">
      <c r="A8" t="s">
        <v>177</v>
      </c>
      <c r="B8">
        <v>1291</v>
      </c>
      <c r="C8">
        <v>1285.8</v>
      </c>
      <c r="D8">
        <v>1185.4000000000001</v>
      </c>
      <c r="E8">
        <v>1000.2</v>
      </c>
      <c r="F8">
        <v>806.8</v>
      </c>
      <c r="G8">
        <v>618.20000000000005</v>
      </c>
      <c r="I8" t="s">
        <v>178</v>
      </c>
    </row>
    <row r="9" spans="1:20" x14ac:dyDescent="0.3">
      <c r="A9" t="s">
        <v>10</v>
      </c>
      <c r="B9">
        <v>1890.1</v>
      </c>
      <c r="C9">
        <v>1838.2</v>
      </c>
      <c r="D9">
        <v>1691.2</v>
      </c>
      <c r="E9">
        <v>1419.9</v>
      </c>
      <c r="F9">
        <v>1414.7</v>
      </c>
      <c r="G9">
        <v>980.6</v>
      </c>
    </row>
    <row r="10" spans="1:20" x14ac:dyDescent="0.3">
      <c r="A10" t="s">
        <v>11</v>
      </c>
      <c r="B10" s="77">
        <v>911.8</v>
      </c>
      <c r="C10" s="77">
        <v>600</v>
      </c>
      <c r="D10" s="77">
        <v>597.70000000000005</v>
      </c>
      <c r="E10" s="77">
        <v>391.2</v>
      </c>
      <c r="F10" s="77">
        <v>265.8</v>
      </c>
      <c r="G10" s="77">
        <v>299.5</v>
      </c>
      <c r="I10" t="s">
        <v>179</v>
      </c>
    </row>
    <row r="11" spans="1:20" x14ac:dyDescent="0.3">
      <c r="A11" t="s">
        <v>12</v>
      </c>
      <c r="B11">
        <v>176.6</v>
      </c>
      <c r="C11">
        <v>109</v>
      </c>
      <c r="D11">
        <v>112.7</v>
      </c>
      <c r="I11" t="s">
        <v>180</v>
      </c>
    </row>
    <row r="12" spans="1:20" x14ac:dyDescent="0.3">
      <c r="A12" t="s">
        <v>13</v>
      </c>
      <c r="B12">
        <v>1088.4000000000001</v>
      </c>
      <c r="C12">
        <v>709</v>
      </c>
      <c r="D12">
        <v>710.4</v>
      </c>
      <c r="E12">
        <v>390.8</v>
      </c>
      <c r="F12">
        <v>256.8</v>
      </c>
      <c r="G12">
        <v>297.89999999999998</v>
      </c>
      <c r="I12" t="s">
        <v>181</v>
      </c>
    </row>
    <row r="13" spans="1:20" x14ac:dyDescent="0.3">
      <c r="A13" t="s">
        <v>14</v>
      </c>
      <c r="B13">
        <v>836.3</v>
      </c>
      <c r="C13">
        <v>576.20000000000005</v>
      </c>
      <c r="D13">
        <v>541.5</v>
      </c>
      <c r="E13">
        <v>49.6</v>
      </c>
      <c r="F13">
        <v>39.9</v>
      </c>
      <c r="G13">
        <v>251.8</v>
      </c>
    </row>
    <row r="14" spans="1:20" x14ac:dyDescent="0.3">
      <c r="A14" t="s">
        <v>0</v>
      </c>
      <c r="B14">
        <v>836.3</v>
      </c>
      <c r="C14">
        <v>576.20000000000005</v>
      </c>
      <c r="D14">
        <v>541.5</v>
      </c>
      <c r="E14">
        <v>341.2</v>
      </c>
      <c r="F14">
        <v>216.9</v>
      </c>
      <c r="G14">
        <v>549.70000000000005</v>
      </c>
      <c r="I14" t="s">
        <v>182</v>
      </c>
    </row>
    <row r="16" spans="1:20" x14ac:dyDescent="0.3">
      <c r="A16" t="s">
        <v>15</v>
      </c>
      <c r="B16">
        <v>2.14</v>
      </c>
      <c r="C16">
        <v>1.46</v>
      </c>
      <c r="D16">
        <v>1.4</v>
      </c>
      <c r="E16">
        <v>0.88</v>
      </c>
      <c r="F16">
        <v>0.56000000000000005</v>
      </c>
      <c r="G16">
        <v>1.46</v>
      </c>
      <c r="I16" t="s">
        <v>183</v>
      </c>
    </row>
    <row r="17" spans="1:28" x14ac:dyDescent="0.3">
      <c r="A17" t="s">
        <v>16</v>
      </c>
      <c r="B17">
        <v>390.2</v>
      </c>
      <c r="C17">
        <v>393.6</v>
      </c>
      <c r="D17">
        <v>386</v>
      </c>
      <c r="E17">
        <v>389.4</v>
      </c>
      <c r="F17">
        <v>386.9</v>
      </c>
      <c r="G17">
        <v>377.5</v>
      </c>
      <c r="I17" t="s">
        <v>184</v>
      </c>
    </row>
    <row r="18" spans="1:28" x14ac:dyDescent="0.3">
      <c r="A18" t="s">
        <v>17</v>
      </c>
      <c r="B18">
        <v>2.09</v>
      </c>
      <c r="C18">
        <v>1.42</v>
      </c>
      <c r="D18">
        <v>1.3</v>
      </c>
      <c r="E18">
        <v>0.82</v>
      </c>
      <c r="F18">
        <v>0.53</v>
      </c>
      <c r="G18">
        <v>1.33</v>
      </c>
    </row>
    <row r="19" spans="1:28" ht="15" thickBot="1" x14ac:dyDescent="0.35">
      <c r="A19" t="s">
        <v>18</v>
      </c>
      <c r="B19">
        <v>405.5</v>
      </c>
      <c r="C19">
        <v>412.7</v>
      </c>
      <c r="D19">
        <v>425.5</v>
      </c>
      <c r="E19">
        <v>427.5</v>
      </c>
      <c r="F19">
        <v>428.8</v>
      </c>
      <c r="G19">
        <v>420.4</v>
      </c>
      <c r="V19" s="40"/>
      <c r="W19" s="41">
        <v>2020</v>
      </c>
      <c r="X19" s="42">
        <v>2021</v>
      </c>
      <c r="Y19" s="42">
        <v>2022</v>
      </c>
      <c r="Z19" s="42">
        <v>2023</v>
      </c>
      <c r="AA19" s="42">
        <v>2024</v>
      </c>
      <c r="AB19" s="43">
        <v>2025</v>
      </c>
    </row>
    <row r="20" spans="1:28" x14ac:dyDescent="0.3">
      <c r="V20" s="8" t="s">
        <v>252</v>
      </c>
      <c r="W20" s="39">
        <v>1926.7</v>
      </c>
      <c r="X20" s="24">
        <v>2448.5</v>
      </c>
      <c r="Y20" s="24">
        <v>2909.8</v>
      </c>
      <c r="Z20" s="24">
        <v>3622.3</v>
      </c>
      <c r="AA20" s="24">
        <v>4033</v>
      </c>
      <c r="AB20" s="44">
        <v>4662</v>
      </c>
    </row>
    <row r="21" spans="1:28" x14ac:dyDescent="0.3">
      <c r="A21" s="77" t="s">
        <v>87</v>
      </c>
      <c r="B21" s="78">
        <f t="shared" ref="B21:G21" si="1">B10/B3*100</f>
        <v>19.558129558129558</v>
      </c>
      <c r="C21" s="78">
        <f t="shared" si="1"/>
        <v>14.877262583684603</v>
      </c>
      <c r="D21" s="78">
        <f t="shared" si="1"/>
        <v>16.500565938768187</v>
      </c>
      <c r="E21" s="78">
        <f t="shared" si="1"/>
        <v>13.444222970650902</v>
      </c>
      <c r="F21" s="78">
        <f t="shared" si="1"/>
        <v>10.855625893404126</v>
      </c>
      <c r="G21" s="78">
        <f t="shared" si="1"/>
        <v>15.544713759277521</v>
      </c>
      <c r="I21" t="s">
        <v>88</v>
      </c>
      <c r="V21" s="8" t="s">
        <v>255</v>
      </c>
      <c r="W21" s="39"/>
      <c r="X21" s="24">
        <v>27.1</v>
      </c>
      <c r="Y21" s="24">
        <v>18.8</v>
      </c>
      <c r="Z21" s="24">
        <v>24.5</v>
      </c>
      <c r="AA21" s="24">
        <v>11.3</v>
      </c>
      <c r="AB21" s="44">
        <v>15.6</v>
      </c>
    </row>
    <row r="22" spans="1:28" x14ac:dyDescent="0.3">
      <c r="A22" s="79" t="s">
        <v>89</v>
      </c>
      <c r="B22" s="80">
        <f>(B3-C3)/C3*100</f>
        <v>15.596330275229359</v>
      </c>
      <c r="C22" s="80">
        <f>(C3-D3)/D3*100</f>
        <v>11.33810010214504</v>
      </c>
      <c r="D22" s="80">
        <f>(D3-E3)/E3*100</f>
        <v>24.486218984122619</v>
      </c>
      <c r="E22" s="80">
        <f>(E3-F3)/F3*100</f>
        <v>18.840106187461718</v>
      </c>
      <c r="F22" s="80">
        <f>(F3-G3)/G3*100</f>
        <v>27.082576426013389</v>
      </c>
      <c r="G22" s="80"/>
      <c r="I22" t="s">
        <v>90</v>
      </c>
      <c r="V22" s="8" t="s">
        <v>253</v>
      </c>
      <c r="W22" s="39">
        <v>299.5</v>
      </c>
      <c r="X22" s="24">
        <v>265.8</v>
      </c>
      <c r="Y22" s="24">
        <v>391.2</v>
      </c>
      <c r="Z22" s="24">
        <v>597.70000000000005</v>
      </c>
      <c r="AA22" s="24">
        <v>600</v>
      </c>
      <c r="AB22" s="44">
        <v>911.8</v>
      </c>
    </row>
    <row r="23" spans="1:28" x14ac:dyDescent="0.3">
      <c r="A23" s="77" t="s">
        <v>111</v>
      </c>
      <c r="B23" s="77">
        <f>B37+B38+B39+B41+B42+B43+B44+B45+B46</f>
        <v>4341.2</v>
      </c>
      <c r="C23" s="77">
        <f>C37+C38+C39+C41+C42+C43+C44+C45+C46</f>
        <v>3905.1000000000008</v>
      </c>
      <c r="D23" s="77">
        <f>D37+D38+D39+D41+D42+D43+D44+D45+D46</f>
        <v>3540.3999999999996</v>
      </c>
      <c r="E23" s="77">
        <f>E37+E38+E39+E41+E42+E43+E44+E45+E46</f>
        <v>2935.4999999999995</v>
      </c>
      <c r="F23" s="77">
        <f>F37+F38+F39+F41+F42+F43+F44+F45+F46</f>
        <v>2202.1</v>
      </c>
      <c r="G23" s="77"/>
      <c r="I23" t="s">
        <v>112</v>
      </c>
      <c r="V23" s="8" t="s">
        <v>251</v>
      </c>
      <c r="W23" s="39">
        <v>15.544713759277521</v>
      </c>
      <c r="X23" s="24">
        <v>10.855625893404126</v>
      </c>
      <c r="Y23" s="24">
        <v>13.444222970650902</v>
      </c>
      <c r="Z23" s="24">
        <v>16.500565938768187</v>
      </c>
      <c r="AA23" s="24">
        <v>14.877262583684603</v>
      </c>
      <c r="AB23" s="44">
        <v>19.558129558129558</v>
      </c>
    </row>
    <row r="24" spans="1:28" x14ac:dyDescent="0.3">
      <c r="A24" s="77" t="s">
        <v>110</v>
      </c>
      <c r="B24" s="77">
        <f>B50+B51+B53+B54+B57</f>
        <v>2215.8999999999996</v>
      </c>
      <c r="C24" s="77">
        <f>C50+C51+C53+C54+C57</f>
        <v>1792.6</v>
      </c>
      <c r="D24" s="77">
        <f>D50+D51+D53+D54+D57</f>
        <v>1636.1</v>
      </c>
      <c r="E24" s="77">
        <f>E50+E51+E53+E54+E57</f>
        <v>1161.2999999999997</v>
      </c>
      <c r="F24" s="77">
        <f>F50+F51+F53+F54+F57</f>
        <v>819.40000000000009</v>
      </c>
      <c r="G24" s="77"/>
      <c r="I24" t="s">
        <v>113</v>
      </c>
      <c r="V24" s="9" t="s">
        <v>254</v>
      </c>
      <c r="W24" s="45">
        <v>359.9</v>
      </c>
      <c r="X24" s="46">
        <v>517.1</v>
      </c>
      <c r="Y24" s="46">
        <v>484.2</v>
      </c>
      <c r="Z24" s="46">
        <v>505.8</v>
      </c>
      <c r="AA24" s="46">
        <v>552.4</v>
      </c>
      <c r="AB24" s="47">
        <v>599.1</v>
      </c>
    </row>
    <row r="25" spans="1:28" x14ac:dyDescent="0.3">
      <c r="A25" s="77" t="s">
        <v>105</v>
      </c>
      <c r="B25" s="77">
        <f>B23-B24</f>
        <v>2125.3000000000002</v>
      </c>
      <c r="C25" s="77">
        <f>C23-C24</f>
        <v>2112.5000000000009</v>
      </c>
      <c r="D25" s="77">
        <f>D23-D24</f>
        <v>1904.2999999999997</v>
      </c>
      <c r="E25" s="77">
        <f>E23-E24</f>
        <v>1774.1999999999998</v>
      </c>
      <c r="F25" s="77">
        <f>F23-F24</f>
        <v>1382.6999999999998</v>
      </c>
      <c r="G25" s="77"/>
      <c r="I25" t="s">
        <v>103</v>
      </c>
    </row>
    <row r="26" spans="1:28" x14ac:dyDescent="0.3">
      <c r="A26" s="77" t="s">
        <v>106</v>
      </c>
      <c r="B26" s="78">
        <f t="shared" ref="B26:G26" si="2">B10*(1-$B$29)</f>
        <v>674.73199999999997</v>
      </c>
      <c r="C26" s="78">
        <f t="shared" si="2"/>
        <v>444</v>
      </c>
      <c r="D26" s="78">
        <f t="shared" si="2"/>
        <v>442.298</v>
      </c>
      <c r="E26" s="78">
        <f t="shared" si="2"/>
        <v>289.488</v>
      </c>
      <c r="F26" s="78">
        <f t="shared" si="2"/>
        <v>196.69200000000001</v>
      </c>
      <c r="G26" s="78">
        <f t="shared" si="2"/>
        <v>221.63</v>
      </c>
      <c r="I26" t="s">
        <v>102</v>
      </c>
    </row>
    <row r="27" spans="1:28" x14ac:dyDescent="0.3">
      <c r="A27" s="77" t="s">
        <v>107</v>
      </c>
      <c r="B27" s="78">
        <f>B26/B25*100</f>
        <v>31.747612101820916</v>
      </c>
      <c r="C27" s="78">
        <f>C26/C25*100</f>
        <v>21.017751479289931</v>
      </c>
      <c r="D27" s="78">
        <f>D26/D25*100</f>
        <v>23.226277372262778</v>
      </c>
      <c r="E27" s="78">
        <f>E26/E25*100</f>
        <v>16.316537030774438</v>
      </c>
      <c r="F27" s="78">
        <f>F26/F25*100</f>
        <v>14.225211542633978</v>
      </c>
      <c r="G27" s="78"/>
      <c r="I27" t="s">
        <v>101</v>
      </c>
    </row>
    <row r="28" spans="1:28" x14ac:dyDescent="0.3">
      <c r="A28" s="77" t="s">
        <v>114</v>
      </c>
      <c r="B28" s="81">
        <f>B22/B27</f>
        <v>0.49125994815637852</v>
      </c>
      <c r="C28" s="81">
        <f>C22/C27</f>
        <v>0.53945352400408575</v>
      </c>
      <c r="D28" s="81">
        <f>D22/D27</f>
        <v>1.054246386180012</v>
      </c>
      <c r="E28" s="81">
        <f>E22/E27</f>
        <v>1.1546632813033553</v>
      </c>
      <c r="F28" s="81">
        <f>F22/F27</f>
        <v>1.9038434925797039</v>
      </c>
      <c r="G28" s="77"/>
      <c r="I28" t="s">
        <v>99</v>
      </c>
    </row>
    <row r="29" spans="1:28" x14ac:dyDescent="0.3">
      <c r="A29" s="77" t="s">
        <v>161</v>
      </c>
      <c r="B29" s="82">
        <v>0.26</v>
      </c>
      <c r="C29" s="81"/>
      <c r="D29" s="81"/>
      <c r="E29" s="81"/>
      <c r="F29" s="81"/>
      <c r="G29" s="77"/>
    </row>
    <row r="31" spans="1:28" ht="18" x14ac:dyDescent="0.35">
      <c r="A31" s="18" t="s">
        <v>19</v>
      </c>
    </row>
    <row r="32" spans="1:28" x14ac:dyDescent="0.3">
      <c r="A32" s="5" t="s">
        <v>95</v>
      </c>
      <c r="B32" s="6">
        <v>2025</v>
      </c>
      <c r="C32" s="6">
        <v>2024</v>
      </c>
      <c r="D32" s="6">
        <v>2023</v>
      </c>
      <c r="E32" s="6">
        <v>2022</v>
      </c>
      <c r="F32" s="6">
        <v>2021</v>
      </c>
      <c r="G32" s="6"/>
      <c r="I32" t="s">
        <v>100</v>
      </c>
    </row>
    <row r="33" spans="1:9" x14ac:dyDescent="0.3">
      <c r="A33" s="7" t="s">
        <v>20</v>
      </c>
    </row>
    <row r="34" spans="1:9" x14ac:dyDescent="0.3">
      <c r="A34" t="s">
        <v>21</v>
      </c>
      <c r="H34" t="s">
        <v>185</v>
      </c>
      <c r="I34" t="s">
        <v>186</v>
      </c>
    </row>
    <row r="35" spans="1:9" x14ac:dyDescent="0.3">
      <c r="A35" t="s">
        <v>22</v>
      </c>
      <c r="B35" s="7">
        <v>917.7</v>
      </c>
      <c r="C35">
        <v>606.1</v>
      </c>
      <c r="D35">
        <v>566.29999999999995</v>
      </c>
      <c r="E35">
        <v>642.29999999999995</v>
      </c>
      <c r="F35">
        <v>1052.5999999999999</v>
      </c>
      <c r="I35" t="s">
        <v>187</v>
      </c>
    </row>
    <row r="36" spans="1:9" x14ac:dyDescent="0.3">
      <c r="A36" t="s">
        <v>23</v>
      </c>
      <c r="B36" s="7">
        <v>1081</v>
      </c>
      <c r="C36">
        <v>1973.3</v>
      </c>
      <c r="D36">
        <v>2157.8000000000002</v>
      </c>
      <c r="E36">
        <v>1813.9</v>
      </c>
      <c r="F36">
        <v>1678.6</v>
      </c>
      <c r="I36" t="s">
        <v>188</v>
      </c>
    </row>
    <row r="37" spans="1:9" x14ac:dyDescent="0.3">
      <c r="A37" t="s">
        <v>68</v>
      </c>
      <c r="B37" s="14">
        <v>1216.0999999999999</v>
      </c>
      <c r="C37">
        <v>1005.7</v>
      </c>
      <c r="D37">
        <v>973.9</v>
      </c>
      <c r="E37">
        <v>713.3</v>
      </c>
      <c r="F37">
        <v>514.29999999999995</v>
      </c>
      <c r="H37" t="s">
        <v>104</v>
      </c>
      <c r="I37" t="s">
        <v>189</v>
      </c>
    </row>
    <row r="38" spans="1:9" x14ac:dyDescent="0.3">
      <c r="A38" t="s">
        <v>24</v>
      </c>
      <c r="B38" s="14">
        <v>629.1</v>
      </c>
      <c r="C38">
        <v>542.6</v>
      </c>
      <c r="D38">
        <v>559.6</v>
      </c>
      <c r="E38">
        <v>306.7</v>
      </c>
      <c r="F38">
        <v>357.3</v>
      </c>
      <c r="H38" t="s">
        <v>104</v>
      </c>
      <c r="I38" t="s">
        <v>190</v>
      </c>
    </row>
    <row r="39" spans="1:9" x14ac:dyDescent="0.3">
      <c r="A39" t="s">
        <v>25</v>
      </c>
      <c r="B39" s="14">
        <v>189.4</v>
      </c>
      <c r="C39">
        <v>173.7</v>
      </c>
      <c r="D39">
        <v>168.3</v>
      </c>
      <c r="E39">
        <v>192.6</v>
      </c>
      <c r="F39">
        <v>81.599999999999994</v>
      </c>
      <c r="H39" t="s">
        <v>104</v>
      </c>
      <c r="I39" t="s">
        <v>191</v>
      </c>
    </row>
    <row r="40" spans="1:9" x14ac:dyDescent="0.3">
      <c r="A40" t="s">
        <v>26</v>
      </c>
      <c r="B40">
        <v>4033.3</v>
      </c>
      <c r="C40">
        <v>4301.3999999999996</v>
      </c>
      <c r="D40">
        <v>4425.8999999999996</v>
      </c>
      <c r="E40">
        <v>3668.8</v>
      </c>
      <c r="F40">
        <v>3684.4</v>
      </c>
      <c r="I40" t="s">
        <v>192</v>
      </c>
    </row>
    <row r="41" spans="1:9" x14ac:dyDescent="0.3">
      <c r="A41" t="s">
        <v>27</v>
      </c>
      <c r="B41" s="14">
        <v>1559.9</v>
      </c>
      <c r="C41">
        <v>1339.9</v>
      </c>
      <c r="D41">
        <v>1113.0999999999999</v>
      </c>
      <c r="E41">
        <v>1055.5999999999999</v>
      </c>
      <c r="F41">
        <v>801.8</v>
      </c>
      <c r="H41" t="s">
        <v>104</v>
      </c>
      <c r="I41" t="s">
        <v>193</v>
      </c>
    </row>
    <row r="42" spans="1:9" x14ac:dyDescent="0.3">
      <c r="A42" t="s">
        <v>28</v>
      </c>
      <c r="B42" s="14">
        <v>77.400000000000006</v>
      </c>
      <c r="C42">
        <v>62.8</v>
      </c>
      <c r="D42">
        <v>71.400000000000006</v>
      </c>
      <c r="E42">
        <v>80</v>
      </c>
      <c r="F42">
        <v>88.1</v>
      </c>
      <c r="H42" t="s">
        <v>104</v>
      </c>
      <c r="I42" t="s">
        <v>194</v>
      </c>
    </row>
    <row r="43" spans="1:9" x14ac:dyDescent="0.3">
      <c r="A43" t="s">
        <v>29</v>
      </c>
      <c r="B43" s="14">
        <v>24.2</v>
      </c>
      <c r="C43">
        <v>22.8</v>
      </c>
      <c r="D43">
        <v>25.2</v>
      </c>
      <c r="E43">
        <v>25.7</v>
      </c>
      <c r="F43">
        <v>26.5</v>
      </c>
      <c r="H43" t="s">
        <v>104</v>
      </c>
      <c r="I43" t="s">
        <v>195</v>
      </c>
    </row>
    <row r="44" spans="1:9" x14ac:dyDescent="0.3">
      <c r="A44" t="s">
        <v>30</v>
      </c>
      <c r="B44" s="14">
        <v>70.8</v>
      </c>
      <c r="C44">
        <v>103.4</v>
      </c>
      <c r="D44">
        <v>134.5</v>
      </c>
      <c r="E44">
        <v>173.3</v>
      </c>
      <c r="F44">
        <v>31.5</v>
      </c>
      <c r="H44" t="s">
        <v>104</v>
      </c>
      <c r="I44" t="s">
        <v>196</v>
      </c>
    </row>
    <row r="45" spans="1:9" x14ac:dyDescent="0.3">
      <c r="A45" t="s">
        <v>31</v>
      </c>
      <c r="B45" s="14">
        <v>295.60000000000002</v>
      </c>
      <c r="C45">
        <v>481.2</v>
      </c>
      <c r="D45">
        <v>419.4</v>
      </c>
      <c r="E45">
        <v>341.2</v>
      </c>
      <c r="F45">
        <v>290.5</v>
      </c>
      <c r="H45" t="s">
        <v>104</v>
      </c>
      <c r="I45" t="s">
        <v>197</v>
      </c>
    </row>
    <row r="46" spans="1:9" x14ac:dyDescent="0.3">
      <c r="A46" t="s">
        <v>32</v>
      </c>
      <c r="B46" s="25">
        <v>278.7</v>
      </c>
      <c r="C46">
        <v>173</v>
      </c>
      <c r="D46">
        <v>75</v>
      </c>
      <c r="E46">
        <v>47.1</v>
      </c>
      <c r="F46">
        <v>10.5</v>
      </c>
      <c r="I46" t="s">
        <v>198</v>
      </c>
    </row>
    <row r="47" spans="1:9" x14ac:dyDescent="0.3">
      <c r="A47" t="s">
        <v>33</v>
      </c>
      <c r="B47">
        <v>6339.9</v>
      </c>
      <c r="C47">
        <v>6484.5</v>
      </c>
      <c r="D47">
        <v>6264.5</v>
      </c>
      <c r="E47">
        <v>5391.7</v>
      </c>
      <c r="F47">
        <v>4933.3</v>
      </c>
      <c r="I47" t="s">
        <v>199</v>
      </c>
    </row>
    <row r="48" spans="1:9" x14ac:dyDescent="0.3">
      <c r="A48" s="7" t="s">
        <v>96</v>
      </c>
    </row>
    <row r="49" spans="1:9" x14ac:dyDescent="0.3">
      <c r="A49" t="s">
        <v>34</v>
      </c>
      <c r="I49" t="s">
        <v>200</v>
      </c>
    </row>
    <row r="50" spans="1:9" x14ac:dyDescent="0.3">
      <c r="A50" t="s">
        <v>35</v>
      </c>
      <c r="B50" s="14">
        <v>1944</v>
      </c>
      <c r="C50">
        <v>1585.1</v>
      </c>
      <c r="D50">
        <v>1345.5</v>
      </c>
      <c r="E50">
        <v>901.8</v>
      </c>
      <c r="F50">
        <v>573</v>
      </c>
      <c r="H50" t="s">
        <v>104</v>
      </c>
      <c r="I50" t="s">
        <v>201</v>
      </c>
    </row>
    <row r="51" spans="1:9" x14ac:dyDescent="0.3">
      <c r="A51" t="s">
        <v>36</v>
      </c>
      <c r="B51" s="14">
        <v>169.2</v>
      </c>
      <c r="C51">
        <v>112</v>
      </c>
      <c r="D51">
        <v>171</v>
      </c>
      <c r="E51">
        <v>134.30000000000001</v>
      </c>
      <c r="F51">
        <v>125.2</v>
      </c>
      <c r="H51" t="s">
        <v>104</v>
      </c>
      <c r="I51" t="s">
        <v>202</v>
      </c>
    </row>
    <row r="52" spans="1:9" x14ac:dyDescent="0.3">
      <c r="A52" t="s">
        <v>37</v>
      </c>
      <c r="C52">
        <v>1204.4000000000001</v>
      </c>
      <c r="E52">
        <v>772.6</v>
      </c>
      <c r="I52" t="s">
        <v>203</v>
      </c>
    </row>
    <row r="53" spans="1:9" x14ac:dyDescent="0.3">
      <c r="A53" t="s">
        <v>38</v>
      </c>
      <c r="B53" s="14">
        <v>21.6</v>
      </c>
      <c r="C53">
        <v>22.5</v>
      </c>
      <c r="D53">
        <v>21.1</v>
      </c>
      <c r="E53">
        <v>20.5</v>
      </c>
      <c r="F53">
        <v>20.5</v>
      </c>
      <c r="I53" t="s">
        <v>204</v>
      </c>
    </row>
    <row r="54" spans="1:9" x14ac:dyDescent="0.3">
      <c r="A54" t="s">
        <v>39</v>
      </c>
      <c r="B54" s="25">
        <v>7.7</v>
      </c>
      <c r="C54">
        <v>8</v>
      </c>
      <c r="D54">
        <v>18.399999999999999</v>
      </c>
      <c r="E54">
        <v>10.1</v>
      </c>
      <c r="F54">
        <v>2.1</v>
      </c>
      <c r="H54" t="s">
        <v>104</v>
      </c>
      <c r="I54" t="s">
        <v>205</v>
      </c>
    </row>
    <row r="55" spans="1:9" x14ac:dyDescent="0.3">
      <c r="A55" t="s">
        <v>40</v>
      </c>
      <c r="B55">
        <v>2142.5</v>
      </c>
      <c r="C55">
        <v>2932</v>
      </c>
      <c r="D55">
        <v>1556</v>
      </c>
      <c r="E55">
        <v>1839.3</v>
      </c>
      <c r="F55">
        <v>720.8</v>
      </c>
      <c r="I55" t="s">
        <v>206</v>
      </c>
    </row>
    <row r="56" spans="1:9" x14ac:dyDescent="0.3">
      <c r="A56" s="2" t="s">
        <v>41</v>
      </c>
      <c r="B56" s="7">
        <v>1240.9000000000001</v>
      </c>
      <c r="C56">
        <v>1237</v>
      </c>
      <c r="D56">
        <v>2434.1999999999998</v>
      </c>
      <c r="E56">
        <v>1197.7</v>
      </c>
      <c r="F56">
        <v>1981.8</v>
      </c>
      <c r="I56" t="s">
        <v>207</v>
      </c>
    </row>
    <row r="57" spans="1:9" x14ac:dyDescent="0.3">
      <c r="A57" t="s">
        <v>42</v>
      </c>
      <c r="B57" s="14">
        <v>73.400000000000006</v>
      </c>
      <c r="C57">
        <v>65</v>
      </c>
      <c r="D57">
        <v>80.099999999999994</v>
      </c>
      <c r="E57">
        <v>94.6</v>
      </c>
      <c r="F57">
        <v>98.6</v>
      </c>
      <c r="I57" t="s">
        <v>208</v>
      </c>
    </row>
    <row r="58" spans="1:9" x14ac:dyDescent="0.3">
      <c r="A58" t="s">
        <v>43</v>
      </c>
      <c r="B58">
        <v>137.1</v>
      </c>
      <c r="C58">
        <v>147.9</v>
      </c>
      <c r="D58">
        <v>125.6</v>
      </c>
      <c r="E58">
        <v>128.30000000000001</v>
      </c>
      <c r="F58">
        <v>90</v>
      </c>
      <c r="I58" t="s">
        <v>209</v>
      </c>
    </row>
    <row r="59" spans="1:9" x14ac:dyDescent="0.3">
      <c r="A59" t="s">
        <v>44</v>
      </c>
      <c r="B59">
        <v>3593.9</v>
      </c>
      <c r="C59">
        <v>4381.8999999999996</v>
      </c>
      <c r="D59">
        <v>4195.8999999999996</v>
      </c>
      <c r="E59">
        <v>3259.9</v>
      </c>
      <c r="F59">
        <v>2891.2</v>
      </c>
      <c r="I59" t="s">
        <v>210</v>
      </c>
    </row>
    <row r="61" spans="1:9" x14ac:dyDescent="0.3">
      <c r="A61" t="s">
        <v>45</v>
      </c>
    </row>
    <row r="62" spans="1:9" x14ac:dyDescent="0.3">
      <c r="A62" t="s">
        <v>159</v>
      </c>
      <c r="B62">
        <v>0.4</v>
      </c>
      <c r="C62">
        <v>0.4</v>
      </c>
      <c r="D62">
        <v>0.4</v>
      </c>
      <c r="E62" s="10">
        <v>2.7777777777777779E-3</v>
      </c>
      <c r="F62">
        <v>0.4</v>
      </c>
    </row>
    <row r="63" spans="1:9" x14ac:dyDescent="0.3">
      <c r="A63" t="s">
        <v>47</v>
      </c>
      <c r="B63">
        <v>2281.5</v>
      </c>
      <c r="C63">
        <v>2093.8000000000002</v>
      </c>
      <c r="D63">
        <v>3514.6</v>
      </c>
      <c r="E63">
        <v>2258.1</v>
      </c>
      <c r="F63">
        <v>2108.6999999999998</v>
      </c>
    </row>
    <row r="64" spans="1:9" x14ac:dyDescent="0.3">
      <c r="A64" t="s">
        <v>48</v>
      </c>
      <c r="B64">
        <v>115</v>
      </c>
      <c r="C64">
        <v>8</v>
      </c>
      <c r="D64">
        <v>16.7</v>
      </c>
      <c r="E64">
        <v>11.6</v>
      </c>
      <c r="F64">
        <v>0.5</v>
      </c>
    </row>
    <row r="65" spans="1:9" x14ac:dyDescent="0.3">
      <c r="A65" t="s">
        <v>49</v>
      </c>
      <c r="B65">
        <v>2433.9</v>
      </c>
      <c r="C65">
        <v>1597.6</v>
      </c>
      <c r="D65">
        <v>1021.4</v>
      </c>
      <c r="E65">
        <v>479.9</v>
      </c>
      <c r="F65">
        <v>138.69999999999999</v>
      </c>
    </row>
    <row r="66" spans="1:9" x14ac:dyDescent="0.3">
      <c r="A66" t="s">
        <v>160</v>
      </c>
      <c r="B66">
        <v>2084.8000000000002</v>
      </c>
      <c r="C66">
        <v>1581.2</v>
      </c>
      <c r="D66">
        <v>2451.1</v>
      </c>
      <c r="E66">
        <v>595</v>
      </c>
      <c r="F66">
        <v>206.2</v>
      </c>
    </row>
    <row r="67" spans="1:9" x14ac:dyDescent="0.3">
      <c r="A67" t="s">
        <v>50</v>
      </c>
      <c r="B67">
        <v>2746</v>
      </c>
      <c r="C67">
        <v>2102.6</v>
      </c>
      <c r="D67">
        <v>2068.6</v>
      </c>
      <c r="E67">
        <v>2131.8000000000002</v>
      </c>
      <c r="F67">
        <v>2042.1</v>
      </c>
    </row>
    <row r="68" spans="1:9" x14ac:dyDescent="0.3">
      <c r="A68" t="s">
        <v>51</v>
      </c>
      <c r="B68">
        <v>6339.9</v>
      </c>
      <c r="C68">
        <v>6484.5</v>
      </c>
      <c r="D68">
        <v>6264.5</v>
      </c>
      <c r="E68">
        <v>5391.7</v>
      </c>
      <c r="F68">
        <v>4933.3</v>
      </c>
    </row>
    <row r="71" spans="1:9" ht="18" x14ac:dyDescent="0.35">
      <c r="A71" s="18" t="s">
        <v>116</v>
      </c>
    </row>
    <row r="72" spans="1:9" x14ac:dyDescent="0.3">
      <c r="A72" s="5" t="s">
        <v>117</v>
      </c>
      <c r="B72" s="6">
        <v>2025</v>
      </c>
      <c r="C72" s="6">
        <v>2024</v>
      </c>
      <c r="D72" s="6">
        <v>2023</v>
      </c>
      <c r="E72" s="5"/>
      <c r="F72" s="5"/>
      <c r="G72" s="5"/>
      <c r="I72" t="s">
        <v>100</v>
      </c>
    </row>
    <row r="73" spans="1:9" x14ac:dyDescent="0.3">
      <c r="A73" s="7" t="s">
        <v>118</v>
      </c>
      <c r="F73" s="5"/>
      <c r="I73" t="s">
        <v>211</v>
      </c>
    </row>
    <row r="74" spans="1:9" x14ac:dyDescent="0.3">
      <c r="A74" t="s">
        <v>0</v>
      </c>
      <c r="B74">
        <v>836.3</v>
      </c>
      <c r="C74">
        <v>576.20000000000005</v>
      </c>
      <c r="D74">
        <v>541.5</v>
      </c>
      <c r="F74" s="5"/>
      <c r="I74" t="s">
        <v>212</v>
      </c>
    </row>
    <row r="75" spans="1:9" x14ac:dyDescent="0.3">
      <c r="A75" t="s">
        <v>119</v>
      </c>
      <c r="F75" s="5"/>
    </row>
    <row r="76" spans="1:9" x14ac:dyDescent="0.3">
      <c r="A76" s="4" t="s">
        <v>120</v>
      </c>
      <c r="B76" s="14">
        <v>251.8</v>
      </c>
      <c r="C76">
        <v>217.7</v>
      </c>
      <c r="D76">
        <v>186</v>
      </c>
      <c r="F76" s="5"/>
      <c r="I76" t="s">
        <v>213</v>
      </c>
    </row>
    <row r="77" spans="1:9" x14ac:dyDescent="0.3">
      <c r="A77" t="s">
        <v>121</v>
      </c>
      <c r="B77">
        <v>159.6</v>
      </c>
      <c r="C77">
        <v>170.4</v>
      </c>
      <c r="D77">
        <v>150.80000000000001</v>
      </c>
      <c r="F77" s="5"/>
    </row>
    <row r="78" spans="1:9" x14ac:dyDescent="0.3">
      <c r="A78" t="s">
        <v>122</v>
      </c>
      <c r="B78">
        <v>7.3</v>
      </c>
      <c r="C78">
        <v>7.5</v>
      </c>
      <c r="D78">
        <v>7.8</v>
      </c>
      <c r="F78" s="5"/>
    </row>
    <row r="79" spans="1:9" x14ac:dyDescent="0.3">
      <c r="A79" t="s">
        <v>123</v>
      </c>
      <c r="B79">
        <v>182.2</v>
      </c>
      <c r="C79">
        <v>43.8</v>
      </c>
      <c r="D79">
        <v>55</v>
      </c>
      <c r="F79" s="5"/>
    </row>
    <row r="80" spans="1:9" x14ac:dyDescent="0.3">
      <c r="A80" t="s">
        <v>124</v>
      </c>
      <c r="B80">
        <v>78.099999999999994</v>
      </c>
      <c r="C80">
        <v>1.4</v>
      </c>
      <c r="D80">
        <v>1.9</v>
      </c>
      <c r="F80" s="5"/>
    </row>
    <row r="81" spans="1:6" x14ac:dyDescent="0.3">
      <c r="A81" t="s">
        <v>125</v>
      </c>
      <c r="B81">
        <v>21.8</v>
      </c>
      <c r="C81">
        <v>48.7</v>
      </c>
      <c r="D81">
        <v>83.9</v>
      </c>
      <c r="F81" s="5"/>
    </row>
    <row r="82" spans="1:6" x14ac:dyDescent="0.3">
      <c r="A82" t="s">
        <v>126</v>
      </c>
      <c r="F82" s="5"/>
    </row>
    <row r="83" spans="1:6" x14ac:dyDescent="0.3">
      <c r="A83" t="s">
        <v>127</v>
      </c>
      <c r="B83">
        <v>201.9</v>
      </c>
      <c r="C83">
        <v>35</v>
      </c>
      <c r="D83">
        <v>260.10000000000002</v>
      </c>
      <c r="F83" s="5"/>
    </row>
    <row r="84" spans="1:6" x14ac:dyDescent="0.3">
      <c r="A84" t="s">
        <v>128</v>
      </c>
      <c r="B84">
        <v>63.7</v>
      </c>
      <c r="C84">
        <v>12.4</v>
      </c>
      <c r="D84">
        <v>252.6</v>
      </c>
      <c r="F84" s="5"/>
    </row>
    <row r="85" spans="1:6" x14ac:dyDescent="0.3">
      <c r="A85" t="s">
        <v>129</v>
      </c>
      <c r="B85">
        <v>14.8</v>
      </c>
      <c r="C85">
        <v>5.8</v>
      </c>
      <c r="D85">
        <v>19.3</v>
      </c>
      <c r="F85" s="5"/>
    </row>
    <row r="86" spans="1:6" x14ac:dyDescent="0.3">
      <c r="A86" t="s">
        <v>130</v>
      </c>
      <c r="B86">
        <v>7.1</v>
      </c>
      <c r="C86">
        <v>6.5</v>
      </c>
      <c r="D86">
        <v>4.5</v>
      </c>
      <c r="F86" s="5"/>
    </row>
    <row r="87" spans="1:6" x14ac:dyDescent="0.3">
      <c r="A87" t="s">
        <v>131</v>
      </c>
      <c r="B87">
        <v>347</v>
      </c>
      <c r="C87">
        <v>211.7</v>
      </c>
      <c r="D87">
        <v>466.5</v>
      </c>
      <c r="F87" s="5"/>
    </row>
    <row r="88" spans="1:6" x14ac:dyDescent="0.3">
      <c r="A88" t="s">
        <v>132</v>
      </c>
      <c r="B88">
        <v>55.4</v>
      </c>
      <c r="C88">
        <v>60</v>
      </c>
      <c r="D88">
        <v>37.200000000000003</v>
      </c>
      <c r="F88" s="5"/>
    </row>
    <row r="89" spans="1:6" x14ac:dyDescent="0.3">
      <c r="A89" t="s">
        <v>133</v>
      </c>
      <c r="B89">
        <v>11.5</v>
      </c>
      <c r="C89">
        <v>8</v>
      </c>
      <c r="D89">
        <v>2.6</v>
      </c>
      <c r="F89" s="5"/>
    </row>
    <row r="90" spans="1:6" x14ac:dyDescent="0.3">
      <c r="A90" s="7" t="s">
        <v>134</v>
      </c>
      <c r="B90" s="7">
        <v>1440.7</v>
      </c>
      <c r="C90" s="7">
        <v>989.5</v>
      </c>
      <c r="D90" s="7">
        <v>748.5</v>
      </c>
      <c r="F90" s="5"/>
    </row>
    <row r="91" spans="1:6" x14ac:dyDescent="0.3">
      <c r="A91" s="7" t="s">
        <v>135</v>
      </c>
      <c r="E91" s="5"/>
      <c r="F91" s="5"/>
    </row>
    <row r="92" spans="1:6" x14ac:dyDescent="0.3">
      <c r="A92" t="s">
        <v>136</v>
      </c>
      <c r="B92">
        <v>1246.5999999999999</v>
      </c>
      <c r="C92">
        <v>2576.3000000000002</v>
      </c>
      <c r="D92">
        <v>3200.4</v>
      </c>
      <c r="E92" s="5"/>
      <c r="F92" s="5"/>
    </row>
    <row r="93" spans="1:6" x14ac:dyDescent="0.3">
      <c r="A93" t="s">
        <v>137</v>
      </c>
      <c r="B93">
        <v>2164.6999999999998</v>
      </c>
      <c r="C93">
        <v>2824.4</v>
      </c>
      <c r="D93">
        <v>2947.4</v>
      </c>
      <c r="E93" s="5"/>
      <c r="F93" s="5"/>
    </row>
    <row r="94" spans="1:6" x14ac:dyDescent="0.3">
      <c r="A94" t="s">
        <v>138</v>
      </c>
      <c r="B94">
        <v>363.5</v>
      </c>
      <c r="C94">
        <v>358.8</v>
      </c>
      <c r="D94">
        <v>236.6</v>
      </c>
      <c r="E94" s="5"/>
      <c r="F94" s="5"/>
    </row>
    <row r="95" spans="1:6" x14ac:dyDescent="0.3">
      <c r="A95" t="s">
        <v>139</v>
      </c>
      <c r="B95">
        <v>19.2</v>
      </c>
      <c r="C95">
        <v>81.3</v>
      </c>
      <c r="D95">
        <v>19.5</v>
      </c>
      <c r="E95" s="5"/>
      <c r="F95" s="5"/>
    </row>
    <row r="96" spans="1:6" x14ac:dyDescent="0.3">
      <c r="A96" t="s">
        <v>140</v>
      </c>
      <c r="B96">
        <v>0.6</v>
      </c>
      <c r="C96">
        <v>15.5</v>
      </c>
      <c r="D96">
        <v>1.9</v>
      </c>
      <c r="E96" s="5"/>
      <c r="F96" s="5"/>
    </row>
    <row r="97" spans="1:6" x14ac:dyDescent="0.3">
      <c r="A97" s="7" t="s">
        <v>141</v>
      </c>
      <c r="B97" s="7">
        <v>536</v>
      </c>
      <c r="C97" s="7">
        <v>207.5</v>
      </c>
      <c r="D97" s="7">
        <v>507.2</v>
      </c>
      <c r="E97" s="5"/>
      <c r="F97" s="5"/>
    </row>
    <row r="98" spans="1:6" x14ac:dyDescent="0.3">
      <c r="A98" s="7" t="s">
        <v>142</v>
      </c>
      <c r="E98" s="5"/>
      <c r="F98" s="5"/>
    </row>
    <row r="99" spans="1:6" x14ac:dyDescent="0.3">
      <c r="A99" t="s">
        <v>143</v>
      </c>
      <c r="B99">
        <v>28.1</v>
      </c>
      <c r="C99">
        <v>28.2</v>
      </c>
      <c r="D99">
        <v>26.6</v>
      </c>
      <c r="E99" s="5"/>
      <c r="F99" s="5"/>
    </row>
    <row r="100" spans="1:6" x14ac:dyDescent="0.3">
      <c r="A100" t="s">
        <v>144</v>
      </c>
      <c r="B100">
        <v>500</v>
      </c>
      <c r="C100">
        <v>750</v>
      </c>
      <c r="D100">
        <v>688.7</v>
      </c>
      <c r="E100" s="5"/>
      <c r="F100" s="5"/>
    </row>
    <row r="101" spans="1:6" x14ac:dyDescent="0.3">
      <c r="A101" t="s">
        <v>145</v>
      </c>
      <c r="D101">
        <v>1230.5999999999999</v>
      </c>
      <c r="E101" s="5"/>
      <c r="F101" s="5"/>
    </row>
    <row r="102" spans="1:6" x14ac:dyDescent="0.3">
      <c r="A102" t="s">
        <v>146</v>
      </c>
      <c r="D102">
        <v>101.3</v>
      </c>
      <c r="E102" s="5"/>
      <c r="F102" s="5"/>
    </row>
    <row r="103" spans="1:6" x14ac:dyDescent="0.3">
      <c r="A103" t="s">
        <v>147</v>
      </c>
      <c r="D103">
        <v>787.3</v>
      </c>
      <c r="E103" s="5"/>
      <c r="F103" s="5"/>
    </row>
    <row r="104" spans="1:6" x14ac:dyDescent="0.3">
      <c r="A104" t="s">
        <v>148</v>
      </c>
      <c r="B104">
        <v>1207.5</v>
      </c>
      <c r="E104" s="5"/>
      <c r="F104" s="5"/>
    </row>
    <row r="105" spans="1:6" x14ac:dyDescent="0.3">
      <c r="A105" t="s">
        <v>149</v>
      </c>
      <c r="B105">
        <v>7</v>
      </c>
      <c r="C105">
        <v>13</v>
      </c>
      <c r="D105">
        <v>1.5</v>
      </c>
      <c r="E105" s="5"/>
      <c r="F105" s="5"/>
    </row>
    <row r="106" spans="1:6" x14ac:dyDescent="0.3">
      <c r="A106" s="7" t="s">
        <v>150</v>
      </c>
      <c r="B106" s="7">
        <v>1686.4</v>
      </c>
      <c r="C106" s="7">
        <v>734.8</v>
      </c>
      <c r="D106" s="7">
        <v>318.60000000000002</v>
      </c>
      <c r="E106" s="5"/>
      <c r="F106" s="5"/>
    </row>
    <row r="107" spans="1:6" x14ac:dyDescent="0.3">
      <c r="A107" t="s">
        <v>151</v>
      </c>
      <c r="B107">
        <v>21.5</v>
      </c>
      <c r="C107">
        <v>7.4</v>
      </c>
      <c r="D107">
        <v>1.5</v>
      </c>
      <c r="E107" s="5"/>
      <c r="F107" s="5"/>
    </row>
    <row r="108" spans="1:6" x14ac:dyDescent="0.3">
      <c r="A108" t="s">
        <v>152</v>
      </c>
      <c r="B108">
        <v>311.8</v>
      </c>
      <c r="C108">
        <v>39.799999999999997</v>
      </c>
      <c r="D108">
        <v>75.8</v>
      </c>
      <c r="E108" s="5"/>
      <c r="F108" s="5"/>
    </row>
    <row r="109" spans="1:6" x14ac:dyDescent="0.3">
      <c r="A109" t="s">
        <v>153</v>
      </c>
      <c r="B109">
        <v>607.29999999999995</v>
      </c>
      <c r="C109">
        <v>567.5</v>
      </c>
      <c r="D109">
        <v>643.29999999999995</v>
      </c>
      <c r="E109" s="5"/>
      <c r="F109" s="5"/>
    </row>
    <row r="110" spans="1:6" x14ac:dyDescent="0.3">
      <c r="A110" s="7" t="s">
        <v>153</v>
      </c>
      <c r="B110" s="7">
        <v>919.1</v>
      </c>
      <c r="C110" s="7">
        <v>607.29999999999995</v>
      </c>
      <c r="D110" s="7">
        <v>567.5</v>
      </c>
      <c r="E110" s="5"/>
      <c r="F110" s="5"/>
    </row>
    <row r="111" spans="1:6" x14ac:dyDescent="0.3">
      <c r="A111" t="s">
        <v>154</v>
      </c>
      <c r="E111" s="5"/>
      <c r="F111" s="5"/>
    </row>
    <row r="112" spans="1:6" x14ac:dyDescent="0.3">
      <c r="A112" t="s">
        <v>155</v>
      </c>
      <c r="B112">
        <v>917.7</v>
      </c>
      <c r="C112">
        <v>606.1</v>
      </c>
      <c r="D112">
        <v>566.29999999999995</v>
      </c>
    </row>
    <row r="113" spans="1:10" x14ac:dyDescent="0.3">
      <c r="A113" t="s">
        <v>156</v>
      </c>
      <c r="B113">
        <v>1.4</v>
      </c>
      <c r="C113">
        <v>1.2</v>
      </c>
      <c r="D113">
        <v>1.2</v>
      </c>
      <c r="E113" s="5"/>
      <c r="F113" s="5"/>
    </row>
    <row r="114" spans="1:10" x14ac:dyDescent="0.3">
      <c r="A114" t="s">
        <v>157</v>
      </c>
      <c r="B114">
        <v>919.1</v>
      </c>
      <c r="C114">
        <v>607.29999999999995</v>
      </c>
      <c r="D114">
        <v>567.5</v>
      </c>
      <c r="E114" s="5"/>
      <c r="F114" s="5"/>
    </row>
    <row r="115" spans="1:10" x14ac:dyDescent="0.3">
      <c r="B115" s="5"/>
      <c r="C115" s="5"/>
      <c r="D115" s="5"/>
      <c r="E115" s="5"/>
      <c r="F115" s="5"/>
    </row>
    <row r="116" spans="1:10" x14ac:dyDescent="0.3">
      <c r="B116" s="5"/>
      <c r="C116" s="5"/>
      <c r="D116" s="5"/>
      <c r="E116" s="5"/>
      <c r="F116" s="5"/>
    </row>
    <row r="117" spans="1:10" ht="18" x14ac:dyDescent="0.35">
      <c r="A117" s="18" t="s">
        <v>52</v>
      </c>
      <c r="B117" s="6"/>
      <c r="C117" s="6"/>
      <c r="D117" s="6"/>
      <c r="E117" s="6"/>
      <c r="F117" s="6"/>
      <c r="G117" s="6"/>
    </row>
    <row r="118" spans="1:10" x14ac:dyDescent="0.3">
      <c r="B118" s="6">
        <v>2025</v>
      </c>
      <c r="C118" s="6"/>
      <c r="D118" s="6"/>
      <c r="E118" s="9"/>
      <c r="F118" s="6">
        <v>2024</v>
      </c>
      <c r="G118" s="6"/>
      <c r="H118" s="9"/>
      <c r="I118" s="6">
        <v>2023</v>
      </c>
      <c r="J118" s="6"/>
    </row>
    <row r="119" spans="1:10" x14ac:dyDescent="0.3">
      <c r="A119" t="s">
        <v>52</v>
      </c>
      <c r="B119" s="1" t="s">
        <v>56</v>
      </c>
      <c r="C119" s="1" t="s">
        <v>57</v>
      </c>
      <c r="D119" s="1" t="s">
        <v>58</v>
      </c>
      <c r="E119" s="16" t="s">
        <v>56</v>
      </c>
      <c r="F119" s="1" t="s">
        <v>57</v>
      </c>
      <c r="G119" s="1" t="s">
        <v>58</v>
      </c>
      <c r="H119" s="16" t="s">
        <v>56</v>
      </c>
      <c r="I119" s="1" t="s">
        <v>57</v>
      </c>
      <c r="J119" s="1" t="s">
        <v>58</v>
      </c>
    </row>
    <row r="120" spans="1:10" x14ac:dyDescent="0.3">
      <c r="A120" t="s">
        <v>53</v>
      </c>
      <c r="B120" s="1">
        <v>3195.7</v>
      </c>
      <c r="C120" s="1">
        <v>763.3</v>
      </c>
      <c r="D120" s="1">
        <v>3959</v>
      </c>
      <c r="E120" s="16">
        <v>2824.4</v>
      </c>
      <c r="F120" s="1">
        <v>605.70000000000005</v>
      </c>
      <c r="G120" s="1">
        <v>3430.1</v>
      </c>
      <c r="H120" s="16">
        <v>2587.1999999999998</v>
      </c>
      <c r="I120" s="1">
        <v>508.4</v>
      </c>
      <c r="J120" s="1">
        <v>3095.6</v>
      </c>
    </row>
    <row r="121" spans="1:10" x14ac:dyDescent="0.3">
      <c r="A121" t="s">
        <v>54</v>
      </c>
      <c r="B121" s="1">
        <v>139.19999999999999</v>
      </c>
      <c r="C121" s="1">
        <v>563.79999999999995</v>
      </c>
      <c r="D121" s="1">
        <v>703</v>
      </c>
      <c r="E121" s="16">
        <v>65.400000000000006</v>
      </c>
      <c r="F121" s="1">
        <v>537.5</v>
      </c>
      <c r="G121" s="1">
        <v>602.9</v>
      </c>
      <c r="H121" s="16">
        <v>38.1</v>
      </c>
      <c r="I121" s="1">
        <v>488.6</v>
      </c>
      <c r="J121" s="1">
        <v>526.70000000000005</v>
      </c>
    </row>
    <row r="122" spans="1:10" x14ac:dyDescent="0.3">
      <c r="A122" t="s">
        <v>55</v>
      </c>
      <c r="B122" s="1">
        <v>3334.9</v>
      </c>
      <c r="C122" s="1">
        <v>1327.1</v>
      </c>
      <c r="D122" s="1">
        <v>4662</v>
      </c>
      <c r="E122" s="16">
        <v>2889.8</v>
      </c>
      <c r="F122" s="1">
        <v>1143.2</v>
      </c>
      <c r="G122" s="1">
        <v>4033</v>
      </c>
      <c r="H122" s="16">
        <v>2625.3</v>
      </c>
      <c r="I122" s="1">
        <v>997</v>
      </c>
      <c r="J122" s="1">
        <v>3622.3</v>
      </c>
    </row>
    <row r="126" spans="1:10" ht="18" x14ac:dyDescent="0.35">
      <c r="A126" s="18" t="s">
        <v>59</v>
      </c>
    </row>
    <row r="127" spans="1:10" x14ac:dyDescent="0.3">
      <c r="A127" s="6" t="s">
        <v>60</v>
      </c>
      <c r="B127" s="6" t="s">
        <v>61</v>
      </c>
    </row>
    <row r="128" spans="1:10" x14ac:dyDescent="0.3">
      <c r="A128" t="s">
        <v>62</v>
      </c>
      <c r="B128" t="s">
        <v>66</v>
      </c>
    </row>
    <row r="129" spans="1:2" x14ac:dyDescent="0.3">
      <c r="A129" t="s">
        <v>63</v>
      </c>
      <c r="B129" t="s">
        <v>67</v>
      </c>
    </row>
    <row r="130" spans="1:2" x14ac:dyDescent="0.3">
      <c r="A130" t="s">
        <v>64</v>
      </c>
      <c r="B130" t="s">
        <v>67</v>
      </c>
    </row>
    <row r="131" spans="1:2" x14ac:dyDescent="0.3">
      <c r="A131" t="s">
        <v>65</v>
      </c>
      <c r="B131" t="s">
        <v>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12CF-14DA-4357-93C2-96B70C9429B1}">
  <sheetPr>
    <tabColor theme="5" tint="0.79998168889431442"/>
  </sheetPr>
  <dimension ref="B2:E11"/>
  <sheetViews>
    <sheetView workbookViewId="0">
      <selection activeCell="C2" sqref="C2:E2"/>
    </sheetView>
  </sheetViews>
  <sheetFormatPr defaultRowHeight="14.4" x14ac:dyDescent="0.3"/>
  <cols>
    <col min="2" max="2" width="37.21875" customWidth="1"/>
    <col min="3" max="3" width="35.88671875" customWidth="1"/>
    <col min="4" max="4" width="36.44140625" customWidth="1"/>
    <col min="5" max="5" width="39" customWidth="1"/>
  </cols>
  <sheetData>
    <row r="2" spans="2:5" x14ac:dyDescent="0.3">
      <c r="B2" s="122" t="s">
        <v>333</v>
      </c>
      <c r="C2" s="122" t="s">
        <v>330</v>
      </c>
      <c r="D2" s="122" t="s">
        <v>331</v>
      </c>
      <c r="E2" s="123" t="s">
        <v>349</v>
      </c>
    </row>
    <row r="3" spans="2:5" ht="15" thickBot="1" x14ac:dyDescent="0.35">
      <c r="B3" s="124" t="s">
        <v>334</v>
      </c>
      <c r="C3" s="133">
        <v>0.08</v>
      </c>
      <c r="D3" s="133">
        <v>0.2</v>
      </c>
      <c r="E3" s="134">
        <v>0.25</v>
      </c>
    </row>
    <row r="4" spans="2:5" ht="15" thickBot="1" x14ac:dyDescent="0.35">
      <c r="B4" s="125" t="s">
        <v>348</v>
      </c>
      <c r="C4" s="135">
        <v>0.03</v>
      </c>
      <c r="D4" s="135">
        <v>0.08</v>
      </c>
      <c r="E4" s="136">
        <v>0.12</v>
      </c>
    </row>
    <row r="5" spans="2:5" ht="15" thickBot="1" x14ac:dyDescent="0.35">
      <c r="B5" s="125" t="s">
        <v>335</v>
      </c>
      <c r="C5" s="135">
        <v>0.18</v>
      </c>
      <c r="D5" s="135">
        <v>0.3</v>
      </c>
      <c r="E5" s="136">
        <v>0.32</v>
      </c>
    </row>
    <row r="6" spans="2:5" ht="15" thickBot="1" x14ac:dyDescent="0.35">
      <c r="B6" s="125" t="s">
        <v>336</v>
      </c>
      <c r="C6" s="135">
        <v>0.26</v>
      </c>
      <c r="D6" s="135">
        <v>0.26</v>
      </c>
      <c r="E6" s="136">
        <v>0.26</v>
      </c>
    </row>
    <row r="7" spans="2:5" ht="15" thickBot="1" x14ac:dyDescent="0.35">
      <c r="B7" s="125" t="s">
        <v>303</v>
      </c>
      <c r="C7" s="131">
        <v>2</v>
      </c>
      <c r="D7" s="131">
        <v>2.2000000000000002</v>
      </c>
      <c r="E7" s="132">
        <v>2.5</v>
      </c>
    </row>
    <row r="8" spans="2:5" ht="15" thickBot="1" x14ac:dyDescent="0.35">
      <c r="B8" s="125" t="s">
        <v>115</v>
      </c>
      <c r="C8" s="135">
        <v>0.09</v>
      </c>
      <c r="D8" s="135">
        <v>0.08</v>
      </c>
      <c r="E8" s="136">
        <v>7.0000000000000007E-2</v>
      </c>
    </row>
    <row r="9" spans="2:5" ht="15" thickBot="1" x14ac:dyDescent="0.35">
      <c r="B9" s="125" t="s">
        <v>337</v>
      </c>
      <c r="C9" s="135">
        <v>0.02</v>
      </c>
      <c r="D9" s="135">
        <v>2.5000000000000001E-2</v>
      </c>
      <c r="E9" s="136">
        <v>0.03</v>
      </c>
    </row>
    <row r="10" spans="2:5" x14ac:dyDescent="0.3">
      <c r="B10" s="130" t="s">
        <v>341</v>
      </c>
      <c r="C10" s="137">
        <v>384.8</v>
      </c>
      <c r="D10" s="137">
        <v>384.8</v>
      </c>
      <c r="E10" s="138">
        <v>384.8</v>
      </c>
    </row>
    <row r="11" spans="2:5" ht="124.2" x14ac:dyDescent="0.3">
      <c r="B11" s="127" t="s">
        <v>289</v>
      </c>
      <c r="C11" s="126" t="s">
        <v>338</v>
      </c>
      <c r="D11" s="128" t="s">
        <v>339</v>
      </c>
      <c r="E11" s="129" t="s">
        <v>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A028-30EC-43A3-85FA-8FFBFE243836}">
  <sheetPr>
    <tabColor theme="5" tint="0.79998168889431442"/>
  </sheetPr>
  <dimension ref="A1:G53"/>
  <sheetViews>
    <sheetView topLeftCell="A19" zoomScale="80" zoomScaleNormal="80" workbookViewId="0">
      <selection activeCell="D41" sqref="D41"/>
    </sheetView>
  </sheetViews>
  <sheetFormatPr defaultRowHeight="13.8" x14ac:dyDescent="0.3"/>
  <cols>
    <col min="1" max="1" width="40.88671875" style="85" customWidth="1"/>
    <col min="2" max="2" width="29.44140625" style="86" customWidth="1"/>
    <col min="3" max="3" width="30.44140625" style="86" customWidth="1"/>
    <col min="4" max="4" width="52.6640625" style="86" customWidth="1"/>
    <col min="5" max="5" width="12.6640625" style="91" customWidth="1"/>
    <col min="6" max="6" width="32.21875" style="91" customWidth="1"/>
    <col min="7" max="7" width="9.44140625" style="91" customWidth="1"/>
    <col min="8" max="8" width="13" style="91" customWidth="1"/>
    <col min="9" max="16384" width="8.88671875" style="91"/>
  </cols>
  <sheetData>
    <row r="1" spans="1:7" x14ac:dyDescent="0.3">
      <c r="A1" s="87"/>
      <c r="B1" s="90" t="s">
        <v>290</v>
      </c>
      <c r="C1" s="88"/>
      <c r="D1" s="88"/>
    </row>
    <row r="2" spans="1:7" x14ac:dyDescent="0.3">
      <c r="A2" s="92"/>
      <c r="B2" s="93"/>
      <c r="C2" s="94"/>
      <c r="D2" s="94"/>
    </row>
    <row r="3" spans="1:7" ht="22.8" customHeight="1" x14ac:dyDescent="0.3">
      <c r="A3" s="155" t="s">
        <v>333</v>
      </c>
      <c r="B3" s="155" t="s">
        <v>330</v>
      </c>
      <c r="C3" s="166" t="s">
        <v>331</v>
      </c>
      <c r="D3" s="156" t="s">
        <v>332</v>
      </c>
    </row>
    <row r="4" spans="1:7" ht="55.8" thickBot="1" x14ac:dyDescent="0.35">
      <c r="A4" s="157" t="s">
        <v>85</v>
      </c>
      <c r="B4" s="158" t="s">
        <v>350</v>
      </c>
      <c r="C4" s="167" t="s">
        <v>351</v>
      </c>
      <c r="D4" s="159" t="s">
        <v>352</v>
      </c>
    </row>
    <row r="5" spans="1:7" ht="14.4" thickBot="1" x14ac:dyDescent="0.35">
      <c r="A5" s="160" t="s">
        <v>342</v>
      </c>
      <c r="B5" s="161" t="s">
        <v>353</v>
      </c>
      <c r="C5" s="168" t="s">
        <v>354</v>
      </c>
      <c r="D5" s="162" t="s">
        <v>355</v>
      </c>
    </row>
    <row r="6" spans="1:7" ht="14.4" thickBot="1" x14ac:dyDescent="0.35">
      <c r="A6" s="160" t="s">
        <v>282</v>
      </c>
      <c r="B6" s="161" t="s">
        <v>356</v>
      </c>
      <c r="C6" s="168" t="s">
        <v>357</v>
      </c>
      <c r="D6" s="162" t="s">
        <v>358</v>
      </c>
    </row>
    <row r="7" spans="1:7" x14ac:dyDescent="0.3">
      <c r="A7" s="163" t="s">
        <v>359</v>
      </c>
      <c r="B7" s="164" t="s">
        <v>360</v>
      </c>
      <c r="C7" s="169" t="s">
        <v>371</v>
      </c>
      <c r="D7" s="165" t="s">
        <v>361</v>
      </c>
    </row>
    <row r="8" spans="1:7" x14ac:dyDescent="0.3">
      <c r="A8" s="139"/>
      <c r="B8" s="139"/>
      <c r="C8" s="139"/>
      <c r="D8" s="139"/>
    </row>
    <row r="9" spans="1:7" x14ac:dyDescent="0.3">
      <c r="A9" s="139"/>
      <c r="B9" s="139"/>
      <c r="C9" s="139"/>
      <c r="D9" s="139"/>
    </row>
    <row r="10" spans="1:7" x14ac:dyDescent="0.3">
      <c r="A10" s="87"/>
      <c r="B10" s="95" t="s">
        <v>307</v>
      </c>
      <c r="C10" s="88"/>
      <c r="D10" s="88"/>
      <c r="E10" s="96"/>
      <c r="F10" s="96"/>
    </row>
    <row r="11" spans="1:7" x14ac:dyDescent="0.3">
      <c r="A11" s="97"/>
      <c r="B11" s="98" t="s">
        <v>291</v>
      </c>
      <c r="C11" s="98" t="s">
        <v>292</v>
      </c>
      <c r="D11" s="98" t="s">
        <v>293</v>
      </c>
      <c r="E11" s="98" t="s">
        <v>294</v>
      </c>
      <c r="F11" s="99" t="s">
        <v>295</v>
      </c>
      <c r="G11" s="100"/>
    </row>
    <row r="12" spans="1:7" ht="28.2" thickBot="1" x14ac:dyDescent="0.35">
      <c r="A12" s="101" t="s">
        <v>85</v>
      </c>
      <c r="B12" s="102" t="s">
        <v>296</v>
      </c>
      <c r="C12" s="103">
        <v>0.2</v>
      </c>
      <c r="D12" s="103">
        <v>0.08</v>
      </c>
      <c r="E12" s="104">
        <v>2.5000000000000001E-2</v>
      </c>
      <c r="F12" s="105" t="s">
        <v>297</v>
      </c>
      <c r="G12" s="100"/>
    </row>
    <row r="13" spans="1:7" ht="28.2" thickBot="1" x14ac:dyDescent="0.35">
      <c r="A13" s="106" t="s">
        <v>298</v>
      </c>
      <c r="B13" s="107" t="s">
        <v>299</v>
      </c>
      <c r="C13" s="107" t="s">
        <v>300</v>
      </c>
      <c r="D13" s="107" t="s">
        <v>301</v>
      </c>
      <c r="E13" s="108">
        <v>0.3</v>
      </c>
      <c r="F13" s="109" t="s">
        <v>362</v>
      </c>
      <c r="G13" s="100"/>
    </row>
    <row r="14" spans="1:7" ht="14.4" thickBot="1" x14ac:dyDescent="0.35">
      <c r="A14" s="106" t="s">
        <v>302</v>
      </c>
      <c r="B14" s="108">
        <v>0.26</v>
      </c>
      <c r="C14" s="108">
        <v>0.26</v>
      </c>
      <c r="D14" s="108">
        <v>0.26</v>
      </c>
      <c r="E14" s="108">
        <v>0.26</v>
      </c>
      <c r="F14" s="109" t="s">
        <v>363</v>
      </c>
      <c r="G14" s="100"/>
    </row>
    <row r="15" spans="1:7" ht="28.2" thickBot="1" x14ac:dyDescent="0.35">
      <c r="A15" s="106" t="s">
        <v>303</v>
      </c>
      <c r="B15" s="110">
        <v>2.2000000000000002</v>
      </c>
      <c r="C15" s="110">
        <v>2.2000000000000002</v>
      </c>
      <c r="D15" s="110">
        <v>2.2000000000000002</v>
      </c>
      <c r="E15" s="110">
        <v>2.2000000000000002</v>
      </c>
      <c r="F15" s="109" t="s">
        <v>364</v>
      </c>
      <c r="G15" s="100"/>
    </row>
    <row r="16" spans="1:7" ht="28.2" thickBot="1" x14ac:dyDescent="0.35">
      <c r="A16" s="106" t="s">
        <v>304</v>
      </c>
      <c r="B16" s="171">
        <v>0.08</v>
      </c>
      <c r="C16" s="171">
        <v>0.08</v>
      </c>
      <c r="D16" s="171">
        <v>0.08</v>
      </c>
      <c r="E16" s="171">
        <v>0.08</v>
      </c>
      <c r="F16" s="109" t="s">
        <v>365</v>
      </c>
      <c r="G16" s="100"/>
    </row>
    <row r="17" spans="1:7" ht="27.6" x14ac:dyDescent="0.3">
      <c r="A17" s="111" t="s">
        <v>305</v>
      </c>
      <c r="B17" s="172" t="s">
        <v>306</v>
      </c>
      <c r="C17" s="172" t="s">
        <v>306</v>
      </c>
      <c r="D17" s="172" t="s">
        <v>306</v>
      </c>
      <c r="E17" s="172">
        <v>2.5000000000000001E-2</v>
      </c>
      <c r="F17" s="112" t="s">
        <v>366</v>
      </c>
      <c r="G17" s="100"/>
    </row>
    <row r="18" spans="1:7" x14ac:dyDescent="0.3">
      <c r="A18" s="91" t="s">
        <v>214</v>
      </c>
      <c r="B18" s="113"/>
      <c r="C18" s="113"/>
      <c r="D18" s="113"/>
      <c r="E18" s="113"/>
      <c r="F18" s="113"/>
      <c r="G18" s="100"/>
    </row>
    <row r="20" spans="1:7" x14ac:dyDescent="0.3">
      <c r="A20" s="96"/>
      <c r="B20" s="96" t="s">
        <v>284</v>
      </c>
      <c r="C20" s="96"/>
      <c r="D20" s="96"/>
      <c r="E20" s="96"/>
      <c r="F20" s="96"/>
    </row>
    <row r="21" spans="1:7" x14ac:dyDescent="0.3">
      <c r="A21" s="154"/>
      <c r="B21" s="141" t="s">
        <v>283</v>
      </c>
      <c r="C21" s="141" t="s">
        <v>286</v>
      </c>
      <c r="D21" s="170" t="s">
        <v>367</v>
      </c>
      <c r="E21" s="141" t="s">
        <v>282</v>
      </c>
      <c r="F21" s="141" t="s">
        <v>287</v>
      </c>
      <c r="G21" s="141" t="s">
        <v>329</v>
      </c>
    </row>
    <row r="22" spans="1:7" x14ac:dyDescent="0.3">
      <c r="A22" s="114">
        <v>0</v>
      </c>
      <c r="B22" s="115">
        <v>4662</v>
      </c>
      <c r="C22" s="116">
        <v>0.19600000000000001</v>
      </c>
      <c r="D22" s="117">
        <f t="shared" ref="D22:D33" si="0">(B22*C22)*(1-$C$14)</f>
        <v>676.17648000000008</v>
      </c>
      <c r="E22" s="114"/>
      <c r="F22" s="114"/>
      <c r="G22" s="173"/>
    </row>
    <row r="23" spans="1:7" x14ac:dyDescent="0.3">
      <c r="A23" s="114">
        <v>1</v>
      </c>
      <c r="B23" s="118">
        <f>B22*(1+$C$12)</f>
        <v>5594.4</v>
      </c>
      <c r="C23" s="119">
        <v>0.2</v>
      </c>
      <c r="D23" s="117">
        <f t="shared" si="0"/>
        <v>827.97119999999995</v>
      </c>
      <c r="E23" s="115">
        <f>(B23-B22)/$C$15</f>
        <v>423.81818181818164</v>
      </c>
      <c r="F23" s="120">
        <f>D23-E23</f>
        <v>404.15301818181831</v>
      </c>
      <c r="G23" s="173">
        <f>F23/(1+$D$16)^1</f>
        <v>374.21575757575766</v>
      </c>
    </row>
    <row r="24" spans="1:7" x14ac:dyDescent="0.3">
      <c r="A24" s="114">
        <v>2</v>
      </c>
      <c r="B24" s="118">
        <f t="shared" ref="B24:B27" si="1">B23*(1+$C$12)</f>
        <v>6713.28</v>
      </c>
      <c r="C24" s="119">
        <v>0.21</v>
      </c>
      <c r="D24" s="117">
        <f t="shared" si="0"/>
        <v>1043.243712</v>
      </c>
      <c r="E24" s="115">
        <f t="shared" ref="E24:E32" si="2">(B24-B23)/$C$15</f>
        <v>508.58181818181816</v>
      </c>
      <c r="F24" s="120">
        <f t="shared" ref="F24:F32" si="3">D24-E24</f>
        <v>534.66189381818185</v>
      </c>
      <c r="G24" s="173">
        <f>F24/(1+$D$16)^2</f>
        <v>458.38639730639727</v>
      </c>
    </row>
    <row r="25" spans="1:7" x14ac:dyDescent="0.3">
      <c r="A25" s="114">
        <v>3</v>
      </c>
      <c r="B25" s="118">
        <f t="shared" si="1"/>
        <v>8055.9359999999997</v>
      </c>
      <c r="C25" s="119">
        <v>0.22</v>
      </c>
      <c r="D25" s="117">
        <f t="shared" si="0"/>
        <v>1311.5063808</v>
      </c>
      <c r="E25" s="115">
        <f t="shared" si="2"/>
        <v>610.29818181818177</v>
      </c>
      <c r="F25" s="120">
        <f t="shared" si="3"/>
        <v>701.20819898181821</v>
      </c>
      <c r="G25" s="173">
        <f>F25/(1+$D$16)^3</f>
        <v>556.64167601945371</v>
      </c>
    </row>
    <row r="26" spans="1:7" x14ac:dyDescent="0.3">
      <c r="A26" s="114">
        <v>4</v>
      </c>
      <c r="B26" s="118">
        <f t="shared" si="1"/>
        <v>9667.1232</v>
      </c>
      <c r="C26" s="119">
        <v>0.23</v>
      </c>
      <c r="D26" s="117">
        <f t="shared" si="0"/>
        <v>1645.3443686400001</v>
      </c>
      <c r="E26" s="115">
        <f t="shared" si="2"/>
        <v>732.35781818181829</v>
      </c>
      <c r="F26" s="120">
        <f t="shared" si="3"/>
        <v>912.9865504581818</v>
      </c>
      <c r="G26" s="173">
        <f>F26/(1+$D$16)^4</f>
        <v>671.072369788419</v>
      </c>
    </row>
    <row r="27" spans="1:7" x14ac:dyDescent="0.3">
      <c r="A27" s="114">
        <v>5</v>
      </c>
      <c r="B27" s="118">
        <f t="shared" si="1"/>
        <v>11600.547839999999</v>
      </c>
      <c r="C27" s="119">
        <v>0.24</v>
      </c>
      <c r="D27" s="117">
        <f t="shared" si="0"/>
        <v>2060.2572963839998</v>
      </c>
      <c r="E27" s="115">
        <f t="shared" si="2"/>
        <v>878.82938181818145</v>
      </c>
      <c r="F27" s="120">
        <f t="shared" si="3"/>
        <v>1181.4279145658184</v>
      </c>
      <c r="G27" s="173">
        <f>F27/(1+$D$16)^5</f>
        <v>804.05998716012425</v>
      </c>
    </row>
    <row r="28" spans="1:7" x14ac:dyDescent="0.3">
      <c r="A28" s="114">
        <v>6</v>
      </c>
      <c r="B28" s="118">
        <f>B27*(1+$D$12)</f>
        <v>12528.5916672</v>
      </c>
      <c r="C28" s="119">
        <v>0.25</v>
      </c>
      <c r="D28" s="117">
        <f t="shared" si="0"/>
        <v>2317.7894584320002</v>
      </c>
      <c r="E28" s="115">
        <f t="shared" si="2"/>
        <v>421.83810327272772</v>
      </c>
      <c r="F28" s="120">
        <f t="shared" si="3"/>
        <v>1895.9513551592725</v>
      </c>
      <c r="G28" s="173">
        <f>F28/(1+$D$16)^6</f>
        <v>1194.7709580692351</v>
      </c>
    </row>
    <row r="29" spans="1:7" x14ac:dyDescent="0.3">
      <c r="A29" s="114">
        <v>7</v>
      </c>
      <c r="B29" s="118">
        <f t="shared" ref="B29:B31" si="4">B28*(1+$D$12)</f>
        <v>13530.879000576002</v>
      </c>
      <c r="C29" s="119">
        <v>0.26</v>
      </c>
      <c r="D29" s="117">
        <f t="shared" si="0"/>
        <v>2603.341119710823</v>
      </c>
      <c r="E29" s="115">
        <f t="shared" si="2"/>
        <v>455.58515153454618</v>
      </c>
      <c r="F29" s="120">
        <f t="shared" si="3"/>
        <v>2147.7559681762768</v>
      </c>
      <c r="G29" s="173">
        <f>F29/(1+$D$16)^7</f>
        <v>1253.1949787977826</v>
      </c>
    </row>
    <row r="30" spans="1:7" x14ac:dyDescent="0.3">
      <c r="A30" s="114">
        <v>8</v>
      </c>
      <c r="B30" s="118">
        <f t="shared" si="4"/>
        <v>14613.349320622083</v>
      </c>
      <c r="C30" s="119">
        <v>0.27</v>
      </c>
      <c r="D30" s="117">
        <f t="shared" si="0"/>
        <v>2919.7471942602924</v>
      </c>
      <c r="E30" s="115">
        <f t="shared" si="2"/>
        <v>492.0319636573094</v>
      </c>
      <c r="F30" s="120">
        <f t="shared" si="3"/>
        <v>2427.715230602983</v>
      </c>
      <c r="G30" s="173">
        <f>F30/(1+$D$16)^8</f>
        <v>1311.6189995263305</v>
      </c>
    </row>
    <row r="31" spans="1:7" x14ac:dyDescent="0.3">
      <c r="A31" s="114">
        <v>9</v>
      </c>
      <c r="B31" s="118">
        <f t="shared" si="4"/>
        <v>15782.41726627185</v>
      </c>
      <c r="C31" s="119">
        <v>0.28000000000000003</v>
      </c>
      <c r="D31" s="117">
        <f t="shared" si="0"/>
        <v>3270.1168575715274</v>
      </c>
      <c r="E31" s="115">
        <f t="shared" si="2"/>
        <v>531.39452074989424</v>
      </c>
      <c r="F31" s="120">
        <f t="shared" si="3"/>
        <v>2738.7223368216332</v>
      </c>
      <c r="G31" s="173">
        <f>F31/(1+$D$16)^9</f>
        <v>1370.0430202548778</v>
      </c>
    </row>
    <row r="32" spans="1:7" x14ac:dyDescent="0.3">
      <c r="A32" s="114">
        <v>10</v>
      </c>
      <c r="B32" s="118">
        <f>B31*(1+$D$12)</f>
        <v>17045.010647573599</v>
      </c>
      <c r="C32" s="119">
        <v>0.28999999999999998</v>
      </c>
      <c r="D32" s="117">
        <f t="shared" si="0"/>
        <v>3657.8592849692945</v>
      </c>
      <c r="E32" s="115">
        <f t="shared" si="2"/>
        <v>573.90608240988593</v>
      </c>
      <c r="F32" s="120">
        <f t="shared" si="3"/>
        <v>3083.9532025594085</v>
      </c>
      <c r="G32" s="173">
        <f>F32/(1+$D$16)^10</f>
        <v>1428.4670409834252</v>
      </c>
    </row>
    <row r="33" spans="1:7" x14ac:dyDescent="0.3">
      <c r="A33" s="141" t="s">
        <v>285</v>
      </c>
      <c r="B33" s="174">
        <f>B32*(1+$E$12)</f>
        <v>17471.135913762937</v>
      </c>
      <c r="C33" s="175">
        <v>0.3</v>
      </c>
      <c r="D33" s="180">
        <f t="shared" si="0"/>
        <v>3878.5921728553722</v>
      </c>
      <c r="E33" s="176">
        <f>(B33-B32)/$C$15</f>
        <v>193.69330281333529</v>
      </c>
      <c r="F33" s="177"/>
      <c r="G33" s="178"/>
    </row>
    <row r="34" spans="1:7" x14ac:dyDescent="0.3">
      <c r="A34" s="91"/>
      <c r="B34" s="91"/>
      <c r="C34" s="91"/>
      <c r="D34" s="91"/>
      <c r="F34" s="120" t="s">
        <v>368</v>
      </c>
      <c r="G34" s="173">
        <f>SUM(G23:G32)</f>
        <v>9422.4711854818033</v>
      </c>
    </row>
    <row r="35" spans="1:7" x14ac:dyDescent="0.3">
      <c r="A35" s="91"/>
      <c r="B35" s="91"/>
      <c r="C35" s="91"/>
      <c r="D35" s="91"/>
    </row>
    <row r="36" spans="1:7" x14ac:dyDescent="0.3">
      <c r="A36" s="96"/>
      <c r="B36" s="96" t="s">
        <v>288</v>
      </c>
      <c r="C36" s="96"/>
      <c r="D36" s="96"/>
    </row>
    <row r="37" spans="1:7" x14ac:dyDescent="0.3">
      <c r="A37" s="91"/>
      <c r="B37" s="91"/>
      <c r="C37" s="91"/>
      <c r="D37" s="91"/>
    </row>
    <row r="38" spans="1:7" ht="15" x14ac:dyDescent="0.35">
      <c r="A38" s="85" t="s">
        <v>322</v>
      </c>
      <c r="B38" s="181">
        <f>B33</f>
        <v>17471.135913762937</v>
      </c>
      <c r="C38" s="85"/>
      <c r="D38" s="91"/>
    </row>
    <row r="39" spans="1:7" x14ac:dyDescent="0.3">
      <c r="A39" s="85" t="s">
        <v>323</v>
      </c>
      <c r="B39" s="181">
        <f>B38*E13</f>
        <v>5241.3407741288811</v>
      </c>
      <c r="C39" s="182" t="s">
        <v>324</v>
      </c>
      <c r="D39" s="91"/>
    </row>
    <row r="40" spans="1:7" x14ac:dyDescent="0.3">
      <c r="A40" s="85" t="s">
        <v>94</v>
      </c>
      <c r="B40" s="181">
        <f>B39*(1-E14)</f>
        <v>3878.5921728553722</v>
      </c>
      <c r="C40" s="85" t="s">
        <v>325</v>
      </c>
      <c r="D40" s="91"/>
    </row>
    <row r="41" spans="1:7" ht="15" x14ac:dyDescent="0.35">
      <c r="A41" s="85" t="s">
        <v>326</v>
      </c>
      <c r="B41" s="181">
        <f>(B33-B32)/E15</f>
        <v>193.69330281333529</v>
      </c>
      <c r="C41" s="85" t="s">
        <v>369</v>
      </c>
      <c r="D41" s="91"/>
    </row>
    <row r="42" spans="1:7" ht="15" x14ac:dyDescent="0.35">
      <c r="A42" s="183" t="s">
        <v>327</v>
      </c>
      <c r="B42" s="179">
        <f>B40-B41</f>
        <v>3684.8988700420368</v>
      </c>
      <c r="C42" s="85" t="s">
        <v>370</v>
      </c>
      <c r="D42" s="91"/>
    </row>
    <row r="43" spans="1:7" x14ac:dyDescent="0.3">
      <c r="A43" s="87" t="s">
        <v>312</v>
      </c>
      <c r="B43" s="179">
        <f>B42/(E16-E17)</f>
        <v>66998.161273491583</v>
      </c>
      <c r="C43" s="85" t="s">
        <v>313</v>
      </c>
      <c r="D43" s="91"/>
    </row>
    <row r="44" spans="1:7" x14ac:dyDescent="0.3">
      <c r="A44" s="87" t="s">
        <v>328</v>
      </c>
      <c r="B44" s="179">
        <f>B43/(1+E16)^10</f>
        <v>31033.112015528779</v>
      </c>
      <c r="C44" s="85" t="s">
        <v>314</v>
      </c>
      <c r="D44" s="91"/>
    </row>
    <row r="45" spans="1:7" x14ac:dyDescent="0.3">
      <c r="A45" s="87" t="s">
        <v>315</v>
      </c>
      <c r="B45" s="179">
        <f>G34</f>
        <v>9422.4711854818033</v>
      </c>
      <c r="C45" s="85" t="s">
        <v>316</v>
      </c>
      <c r="D45" s="91"/>
    </row>
    <row r="46" spans="1:7" x14ac:dyDescent="0.3">
      <c r="A46" s="87" t="s">
        <v>372</v>
      </c>
      <c r="B46" s="179">
        <f>B44+B45</f>
        <v>40455.583201010581</v>
      </c>
      <c r="C46" s="85" t="s">
        <v>317</v>
      </c>
      <c r="D46" s="173"/>
    </row>
    <row r="47" spans="1:7" x14ac:dyDescent="0.3">
      <c r="A47" s="87" t="s">
        <v>308</v>
      </c>
      <c r="B47" s="179">
        <v>1240.9000000000001</v>
      </c>
      <c r="C47" s="85" t="s">
        <v>318</v>
      </c>
      <c r="D47" s="91"/>
    </row>
    <row r="48" spans="1:7" x14ac:dyDescent="0.3">
      <c r="A48" s="87" t="s">
        <v>309</v>
      </c>
      <c r="B48" s="179">
        <v>1998.7</v>
      </c>
      <c r="C48" s="85" t="s">
        <v>319</v>
      </c>
      <c r="D48" s="91"/>
    </row>
    <row r="49" spans="1:4" x14ac:dyDescent="0.3">
      <c r="A49" s="87" t="s">
        <v>346</v>
      </c>
      <c r="B49" s="179">
        <f>B46-B47+B48</f>
        <v>41213.383201010576</v>
      </c>
      <c r="C49" s="85" t="s">
        <v>320</v>
      </c>
      <c r="D49" s="91"/>
    </row>
    <row r="50" spans="1:4" x14ac:dyDescent="0.3">
      <c r="A50" s="87" t="s">
        <v>373</v>
      </c>
      <c r="B50" s="179">
        <v>384.8</v>
      </c>
      <c r="C50" s="184" t="s">
        <v>321</v>
      </c>
      <c r="D50" s="91"/>
    </row>
    <row r="51" spans="1:4" x14ac:dyDescent="0.3">
      <c r="A51" s="90" t="s">
        <v>374</v>
      </c>
      <c r="B51" s="185">
        <f>B49/B50</f>
        <v>107.10338669701292</v>
      </c>
      <c r="C51" s="86" t="s">
        <v>311</v>
      </c>
      <c r="D51" s="91"/>
    </row>
    <row r="52" spans="1:4" x14ac:dyDescent="0.3">
      <c r="A52" s="87" t="s">
        <v>376</v>
      </c>
      <c r="B52" s="89">
        <v>79.58</v>
      </c>
      <c r="D52" s="121"/>
    </row>
    <row r="53" spans="1:4" x14ac:dyDescent="0.3">
      <c r="A53" s="186" t="s">
        <v>375</v>
      </c>
      <c r="B53" s="187">
        <f>(B51-B52)/B52</f>
        <v>0.34585808867822221</v>
      </c>
      <c r="D53" s="9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A177-751E-4CDB-A78C-981FB4A6D7BD}">
  <sheetPr>
    <tabColor theme="5" tint="0.79998168889431442"/>
  </sheetPr>
  <dimension ref="A1:G53"/>
  <sheetViews>
    <sheetView topLeftCell="A26" zoomScale="90" zoomScaleNormal="90" workbookViewId="0">
      <selection activeCell="B52" sqref="B52"/>
    </sheetView>
  </sheetViews>
  <sheetFormatPr defaultRowHeight="13.8" x14ac:dyDescent="0.3"/>
  <cols>
    <col min="1" max="1" width="40.88671875" style="85" customWidth="1"/>
    <col min="2" max="2" width="29.44140625" style="86" customWidth="1"/>
    <col min="3" max="3" width="32.44140625" style="86" customWidth="1"/>
    <col min="4" max="4" width="52.6640625" style="86" customWidth="1"/>
    <col min="5" max="5" width="12.6640625" style="91" customWidth="1"/>
    <col min="6" max="6" width="32.21875" style="91" customWidth="1"/>
    <col min="7" max="7" width="9.44140625" style="91" customWidth="1"/>
    <col min="8" max="8" width="13" style="91" customWidth="1"/>
    <col min="9" max="16384" width="8.88671875" style="91"/>
  </cols>
  <sheetData>
    <row r="1" spans="1:7" x14ac:dyDescent="0.3">
      <c r="A1" s="87"/>
      <c r="B1" s="90" t="s">
        <v>290</v>
      </c>
      <c r="C1" s="88"/>
      <c r="D1" s="88"/>
    </row>
    <row r="2" spans="1:7" x14ac:dyDescent="0.3">
      <c r="A2" s="92"/>
      <c r="B2" s="93"/>
      <c r="C2" s="94"/>
      <c r="D2" s="94"/>
    </row>
    <row r="3" spans="1:7" ht="22.8" customHeight="1" x14ac:dyDescent="0.3">
      <c r="A3" s="155" t="s">
        <v>333</v>
      </c>
      <c r="B3" s="166" t="s">
        <v>330</v>
      </c>
      <c r="C3" s="155" t="s">
        <v>331</v>
      </c>
      <c r="D3" s="156" t="s">
        <v>332</v>
      </c>
    </row>
    <row r="4" spans="1:7" ht="55.8" thickBot="1" x14ac:dyDescent="0.35">
      <c r="A4" s="157" t="s">
        <v>85</v>
      </c>
      <c r="B4" s="167" t="s">
        <v>350</v>
      </c>
      <c r="C4" s="158" t="s">
        <v>351</v>
      </c>
      <c r="D4" s="159" t="s">
        <v>352</v>
      </c>
    </row>
    <row r="5" spans="1:7" ht="42" thickBot="1" x14ac:dyDescent="0.35">
      <c r="A5" s="160" t="s">
        <v>342</v>
      </c>
      <c r="B5" s="168" t="s">
        <v>378</v>
      </c>
      <c r="C5" s="161" t="s">
        <v>354</v>
      </c>
      <c r="D5" s="162" t="s">
        <v>355</v>
      </c>
    </row>
    <row r="6" spans="1:7" ht="14.4" thickBot="1" x14ac:dyDescent="0.35">
      <c r="A6" s="160" t="s">
        <v>282</v>
      </c>
      <c r="B6" s="168" t="s">
        <v>356</v>
      </c>
      <c r="C6" s="161" t="s">
        <v>357</v>
      </c>
      <c r="D6" s="162" t="s">
        <v>358</v>
      </c>
    </row>
    <row r="7" spans="1:7" x14ac:dyDescent="0.3">
      <c r="A7" s="163" t="s">
        <v>359</v>
      </c>
      <c r="B7" s="169" t="s">
        <v>360</v>
      </c>
      <c r="C7" s="164" t="s">
        <v>371</v>
      </c>
      <c r="D7" s="165" t="s">
        <v>361</v>
      </c>
    </row>
    <row r="8" spans="1:7" x14ac:dyDescent="0.3">
      <c r="A8" s="139"/>
      <c r="B8" s="139"/>
      <c r="C8" s="139"/>
      <c r="D8" s="139"/>
    </row>
    <row r="9" spans="1:7" x14ac:dyDescent="0.3">
      <c r="A9" s="139"/>
      <c r="B9" s="139"/>
      <c r="C9" s="139"/>
      <c r="D9" s="139"/>
    </row>
    <row r="10" spans="1:7" x14ac:dyDescent="0.3">
      <c r="A10" s="87"/>
      <c r="B10" s="95" t="s">
        <v>307</v>
      </c>
      <c r="C10" s="88"/>
      <c r="D10" s="88"/>
      <c r="E10" s="96"/>
      <c r="F10" s="96"/>
    </row>
    <row r="11" spans="1:7" x14ac:dyDescent="0.3">
      <c r="A11" s="97"/>
      <c r="B11" s="98" t="s">
        <v>291</v>
      </c>
      <c r="C11" s="98" t="s">
        <v>292</v>
      </c>
      <c r="D11" s="98" t="s">
        <v>293</v>
      </c>
      <c r="E11" s="98" t="s">
        <v>294</v>
      </c>
      <c r="F11" s="99" t="s">
        <v>295</v>
      </c>
      <c r="G11" s="100"/>
    </row>
    <row r="12" spans="1:7" ht="42" thickBot="1" x14ac:dyDescent="0.35">
      <c r="A12" s="101" t="s">
        <v>85</v>
      </c>
      <c r="B12" s="102" t="s">
        <v>296</v>
      </c>
      <c r="C12" s="103">
        <v>0.08</v>
      </c>
      <c r="D12" s="103">
        <v>0.03</v>
      </c>
      <c r="E12" s="104">
        <v>2.5000000000000001E-2</v>
      </c>
      <c r="F12" s="105" t="s">
        <v>379</v>
      </c>
      <c r="G12" s="100"/>
    </row>
    <row r="13" spans="1:7" ht="28.2" thickBot="1" x14ac:dyDescent="0.35">
      <c r="A13" s="106" t="s">
        <v>298</v>
      </c>
      <c r="B13" s="107" t="s">
        <v>299</v>
      </c>
      <c r="C13" s="107" t="s">
        <v>377</v>
      </c>
      <c r="D13" s="107" t="s">
        <v>377</v>
      </c>
      <c r="E13" s="108">
        <v>0.18</v>
      </c>
      <c r="F13" s="109" t="s">
        <v>380</v>
      </c>
      <c r="G13" s="100"/>
    </row>
    <row r="14" spans="1:7" ht="14.4" thickBot="1" x14ac:dyDescent="0.35">
      <c r="A14" s="106" t="s">
        <v>302</v>
      </c>
      <c r="B14" s="108">
        <v>0.26</v>
      </c>
      <c r="C14" s="108">
        <v>0.26</v>
      </c>
      <c r="D14" s="108">
        <v>0.26</v>
      </c>
      <c r="E14" s="108">
        <v>0.26</v>
      </c>
      <c r="F14" s="109" t="s">
        <v>363</v>
      </c>
      <c r="G14" s="100"/>
    </row>
    <row r="15" spans="1:7" ht="42" thickBot="1" x14ac:dyDescent="0.35">
      <c r="A15" s="106" t="s">
        <v>303</v>
      </c>
      <c r="B15" s="110">
        <v>2</v>
      </c>
      <c r="C15" s="110">
        <v>2</v>
      </c>
      <c r="D15" s="110">
        <v>2</v>
      </c>
      <c r="E15" s="110">
        <v>2</v>
      </c>
      <c r="F15" s="109" t="s">
        <v>381</v>
      </c>
      <c r="G15" s="100"/>
    </row>
    <row r="16" spans="1:7" ht="28.2" thickBot="1" x14ac:dyDescent="0.35">
      <c r="A16" s="106" t="s">
        <v>304</v>
      </c>
      <c r="B16" s="171">
        <v>0.09</v>
      </c>
      <c r="C16" s="171">
        <v>0.09</v>
      </c>
      <c r="D16" s="171">
        <v>0.09</v>
      </c>
      <c r="E16" s="171">
        <v>0.09</v>
      </c>
      <c r="F16" s="109" t="s">
        <v>382</v>
      </c>
      <c r="G16" s="100"/>
    </row>
    <row r="17" spans="1:7" ht="41.4" x14ac:dyDescent="0.3">
      <c r="A17" s="111" t="s">
        <v>305</v>
      </c>
      <c r="B17" s="172" t="s">
        <v>306</v>
      </c>
      <c r="C17" s="172" t="s">
        <v>306</v>
      </c>
      <c r="D17" s="172" t="s">
        <v>306</v>
      </c>
      <c r="E17" s="172">
        <v>2.5000000000000001E-2</v>
      </c>
      <c r="F17" s="112" t="s">
        <v>383</v>
      </c>
      <c r="G17" s="100"/>
    </row>
    <row r="18" spans="1:7" x14ac:dyDescent="0.3">
      <c r="A18" s="91" t="s">
        <v>214</v>
      </c>
      <c r="B18" s="113"/>
      <c r="C18" s="113"/>
      <c r="D18" s="113"/>
      <c r="E18" s="113"/>
      <c r="F18" s="113"/>
      <c r="G18" s="100"/>
    </row>
    <row r="20" spans="1:7" x14ac:dyDescent="0.3">
      <c r="A20" s="96"/>
      <c r="B20" s="96" t="s">
        <v>284</v>
      </c>
      <c r="C20" s="96"/>
      <c r="D20" s="96"/>
      <c r="E20" s="96"/>
      <c r="F20" s="96"/>
    </row>
    <row r="21" spans="1:7" x14ac:dyDescent="0.3">
      <c r="A21" s="154"/>
      <c r="B21" s="141" t="s">
        <v>283</v>
      </c>
      <c r="C21" s="141" t="s">
        <v>286</v>
      </c>
      <c r="D21" s="170" t="s">
        <v>367</v>
      </c>
      <c r="E21" s="141" t="s">
        <v>282</v>
      </c>
      <c r="F21" s="141" t="s">
        <v>287</v>
      </c>
      <c r="G21" s="141" t="s">
        <v>329</v>
      </c>
    </row>
    <row r="22" spans="1:7" x14ac:dyDescent="0.3">
      <c r="A22" s="114">
        <v>0</v>
      </c>
      <c r="B22" s="115">
        <v>4662</v>
      </c>
      <c r="C22" s="116">
        <v>0.19600000000000001</v>
      </c>
      <c r="D22" s="117">
        <f t="shared" ref="D22:D33" si="0">(B22*C22)*(1-$C$14)</f>
        <v>676.17648000000008</v>
      </c>
      <c r="E22" s="114"/>
      <c r="F22" s="114"/>
      <c r="G22" s="173"/>
    </row>
    <row r="23" spans="1:7" x14ac:dyDescent="0.3">
      <c r="A23" s="114">
        <v>1</v>
      </c>
      <c r="B23" s="118">
        <f>B22*(1+$C$12)</f>
        <v>5034.96</v>
      </c>
      <c r="C23" s="119">
        <v>0.19500000000000001</v>
      </c>
      <c r="D23" s="117">
        <f t="shared" si="0"/>
        <v>726.54472800000008</v>
      </c>
      <c r="E23" s="115">
        <f>(B23-B22)/$C$15</f>
        <v>186.48000000000002</v>
      </c>
      <c r="F23" s="120">
        <f>D23-E23</f>
        <v>540.06472800000006</v>
      </c>
      <c r="G23" s="173">
        <f>F23/(1+$D$16)^1</f>
        <v>495.47222752293578</v>
      </c>
    </row>
    <row r="24" spans="1:7" x14ac:dyDescent="0.3">
      <c r="A24" s="114">
        <v>2</v>
      </c>
      <c r="B24" s="118">
        <f t="shared" ref="B24:B27" si="1">B23*(1+$C$12)</f>
        <v>5437.7568000000001</v>
      </c>
      <c r="C24" s="119">
        <v>0.19400000000000001</v>
      </c>
      <c r="D24" s="117">
        <f t="shared" si="0"/>
        <v>780.64436620799995</v>
      </c>
      <c r="E24" s="115">
        <f t="shared" ref="E24:E32" si="2">(B24-B23)/$C$15</f>
        <v>201.39840000000004</v>
      </c>
      <c r="F24" s="120">
        <f t="shared" ref="F24:F32" si="3">D24-E24</f>
        <v>579.24596620799991</v>
      </c>
      <c r="G24" s="173">
        <f>F24/(1+$D$16)^2</f>
        <v>487.53974093763139</v>
      </c>
    </row>
    <row r="25" spans="1:7" x14ac:dyDescent="0.3">
      <c r="A25" s="114">
        <v>3</v>
      </c>
      <c r="B25" s="118">
        <f t="shared" si="1"/>
        <v>5872.7773440000001</v>
      </c>
      <c r="C25" s="119">
        <v>0.193</v>
      </c>
      <c r="D25" s="117">
        <f t="shared" si="0"/>
        <v>838.7500602700801</v>
      </c>
      <c r="E25" s="115">
        <f t="shared" si="2"/>
        <v>217.51027199999999</v>
      </c>
      <c r="F25" s="120">
        <f t="shared" si="3"/>
        <v>621.23978827008011</v>
      </c>
      <c r="G25" s="173">
        <f>F25/(1+$D$16)^3</f>
        <v>479.71110165878912</v>
      </c>
    </row>
    <row r="26" spans="1:7" x14ac:dyDescent="0.3">
      <c r="A26" s="114">
        <v>4</v>
      </c>
      <c r="B26" s="118">
        <f t="shared" si="1"/>
        <v>6342.5995315200007</v>
      </c>
      <c r="C26" s="119">
        <v>0.192</v>
      </c>
      <c r="D26" s="117">
        <f t="shared" si="0"/>
        <v>901.15654143836173</v>
      </c>
      <c r="E26" s="115">
        <f t="shared" si="2"/>
        <v>234.91109376000031</v>
      </c>
      <c r="F26" s="120">
        <f t="shared" si="3"/>
        <v>666.24544767836142</v>
      </c>
      <c r="G26" s="173">
        <f>F26/(1+$D$16)^4</f>
        <v>471.9850718927695</v>
      </c>
    </row>
    <row r="27" spans="1:7" x14ac:dyDescent="0.3">
      <c r="A27" s="114">
        <v>5</v>
      </c>
      <c r="B27" s="118">
        <f t="shared" si="1"/>
        <v>6850.0074940416016</v>
      </c>
      <c r="C27" s="119">
        <v>0.191</v>
      </c>
      <c r="D27" s="117">
        <f t="shared" si="0"/>
        <v>968.18005920784003</v>
      </c>
      <c r="E27" s="115">
        <f t="shared" si="2"/>
        <v>253.70398126080045</v>
      </c>
      <c r="F27" s="120">
        <f t="shared" si="3"/>
        <v>714.47607794703958</v>
      </c>
      <c r="G27" s="173">
        <f>F27/(1+$D$16)^5</f>
        <v>464.36042781712405</v>
      </c>
    </row>
    <row r="28" spans="1:7" x14ac:dyDescent="0.3">
      <c r="A28" s="114">
        <v>6</v>
      </c>
      <c r="B28" s="118">
        <f>B27*(1+$D$12)</f>
        <v>7055.5077188628502</v>
      </c>
      <c r="C28" s="119">
        <v>0.19</v>
      </c>
      <c r="D28" s="117">
        <f t="shared" si="0"/>
        <v>992.00438527211668</v>
      </c>
      <c r="E28" s="115">
        <f t="shared" si="2"/>
        <v>102.7501124106243</v>
      </c>
      <c r="F28" s="120">
        <f t="shared" si="3"/>
        <v>889.25427286149238</v>
      </c>
      <c r="G28" s="173">
        <f>F28/(1+$D$16)^6</f>
        <v>530.2332681950428</v>
      </c>
    </row>
    <row r="29" spans="1:7" x14ac:dyDescent="0.3">
      <c r="A29" s="114">
        <v>7</v>
      </c>
      <c r="B29" s="118">
        <f t="shared" ref="B29:B31" si="4">B28*(1+$D$12)</f>
        <v>7267.1729504287359</v>
      </c>
      <c r="C29" s="119">
        <v>0.188</v>
      </c>
      <c r="D29" s="117">
        <f t="shared" si="0"/>
        <v>1011.0091008636457</v>
      </c>
      <c r="E29" s="115">
        <f t="shared" si="2"/>
        <v>105.83261578294287</v>
      </c>
      <c r="F29" s="120">
        <f t="shared" si="3"/>
        <v>905.17648508070283</v>
      </c>
      <c r="G29" s="173">
        <f>F29/(1+$D$16)^7</f>
        <v>495.16253496605054</v>
      </c>
    </row>
    <row r="30" spans="1:7" x14ac:dyDescent="0.3">
      <c r="A30" s="114">
        <v>8</v>
      </c>
      <c r="B30" s="118">
        <f t="shared" si="4"/>
        <v>7485.1881389415985</v>
      </c>
      <c r="C30" s="119">
        <v>0.186</v>
      </c>
      <c r="D30" s="117">
        <f t="shared" si="0"/>
        <v>1030.2612954439217</v>
      </c>
      <c r="E30" s="115">
        <f t="shared" si="2"/>
        <v>109.00759425643128</v>
      </c>
      <c r="F30" s="120">
        <f t="shared" si="3"/>
        <v>921.25370118749038</v>
      </c>
      <c r="G30" s="173">
        <f>F30/(1+$D$16)^8</f>
        <v>462.34616764973379</v>
      </c>
    </row>
    <row r="31" spans="1:7" x14ac:dyDescent="0.3">
      <c r="A31" s="114">
        <v>9</v>
      </c>
      <c r="B31" s="118">
        <f t="shared" si="4"/>
        <v>7709.7437831098468</v>
      </c>
      <c r="C31" s="119">
        <v>0.184</v>
      </c>
      <c r="D31" s="117">
        <f t="shared" si="0"/>
        <v>1049.7587135082367</v>
      </c>
      <c r="E31" s="115">
        <f t="shared" si="2"/>
        <v>112.27782208412418</v>
      </c>
      <c r="F31" s="120">
        <f t="shared" si="3"/>
        <v>937.48089142411254</v>
      </c>
      <c r="G31" s="173">
        <f>F31/(1+$D$16)^9</f>
        <v>431.64224517736659</v>
      </c>
    </row>
    <row r="32" spans="1:7" x14ac:dyDescent="0.3">
      <c r="A32" s="114">
        <v>10</v>
      </c>
      <c r="B32" s="118">
        <f>B31*(1+$D$12)</f>
        <v>7941.0360966031421</v>
      </c>
      <c r="C32" s="119">
        <v>0.182</v>
      </c>
      <c r="D32" s="117">
        <f t="shared" si="0"/>
        <v>1069.4987414905111</v>
      </c>
      <c r="E32" s="115">
        <f t="shared" si="2"/>
        <v>115.64615674664765</v>
      </c>
      <c r="F32" s="120">
        <f t="shared" si="3"/>
        <v>953.85258474386342</v>
      </c>
      <c r="G32" s="173">
        <f>F32/(1+$D$16)^10</f>
        <v>402.91763998119382</v>
      </c>
    </row>
    <row r="33" spans="1:7" x14ac:dyDescent="0.3">
      <c r="A33" s="141" t="s">
        <v>285</v>
      </c>
      <c r="B33" s="174">
        <f>B32*(1+$E$12)</f>
        <v>8139.5619990182204</v>
      </c>
      <c r="C33" s="119">
        <v>0.18</v>
      </c>
      <c r="D33" s="180">
        <f t="shared" si="0"/>
        <v>1084.1896582692268</v>
      </c>
      <c r="E33" s="176">
        <f>(B33-B32)/$C$15</f>
        <v>99.262951207539118</v>
      </c>
      <c r="F33" s="177"/>
      <c r="G33" s="178"/>
    </row>
    <row r="34" spans="1:7" x14ac:dyDescent="0.3">
      <c r="A34" s="91"/>
      <c r="B34" s="91"/>
      <c r="C34" s="91"/>
      <c r="D34" s="91"/>
      <c r="F34" s="120" t="s">
        <v>368</v>
      </c>
      <c r="G34" s="173">
        <f>SUM(G23:G32)</f>
        <v>4721.3704257986383</v>
      </c>
    </row>
    <row r="35" spans="1:7" x14ac:dyDescent="0.3">
      <c r="A35" s="91"/>
      <c r="B35" s="91"/>
      <c r="C35" s="91"/>
      <c r="D35" s="91"/>
    </row>
    <row r="36" spans="1:7" x14ac:dyDescent="0.3">
      <c r="A36" s="96"/>
      <c r="B36" s="96" t="s">
        <v>288</v>
      </c>
      <c r="C36" s="96"/>
      <c r="D36" s="96"/>
    </row>
    <row r="37" spans="1:7" x14ac:dyDescent="0.3">
      <c r="A37" s="91"/>
      <c r="B37" s="91"/>
      <c r="C37" s="91"/>
      <c r="D37" s="91"/>
    </row>
    <row r="38" spans="1:7" ht="15" x14ac:dyDescent="0.35">
      <c r="A38" s="85" t="s">
        <v>322</v>
      </c>
      <c r="B38" s="181">
        <f>B33</f>
        <v>8139.5619990182204</v>
      </c>
      <c r="C38" s="85"/>
      <c r="D38" s="91"/>
    </row>
    <row r="39" spans="1:7" x14ac:dyDescent="0.3">
      <c r="A39" s="85" t="s">
        <v>323</v>
      </c>
      <c r="B39" s="181">
        <f>B38*E13</f>
        <v>1465.1211598232796</v>
      </c>
      <c r="C39" s="182" t="s">
        <v>324</v>
      </c>
      <c r="D39" s="91"/>
    </row>
    <row r="40" spans="1:7" x14ac:dyDescent="0.3">
      <c r="A40" s="85" t="s">
        <v>94</v>
      </c>
      <c r="B40" s="181">
        <f>B39*(1-E14)</f>
        <v>1084.1896582692268</v>
      </c>
      <c r="C40" s="85" t="s">
        <v>325</v>
      </c>
      <c r="D40" s="91"/>
    </row>
    <row r="41" spans="1:7" ht="15" x14ac:dyDescent="0.35">
      <c r="A41" s="85" t="s">
        <v>326</v>
      </c>
      <c r="B41" s="181">
        <f>(B33-B32)/E15</f>
        <v>99.262951207539118</v>
      </c>
      <c r="C41" s="85" t="s">
        <v>369</v>
      </c>
      <c r="D41" s="91"/>
    </row>
    <row r="42" spans="1:7" ht="15" x14ac:dyDescent="0.35">
      <c r="A42" s="183" t="s">
        <v>327</v>
      </c>
      <c r="B42" s="179">
        <f>B40-B41</f>
        <v>984.92670706168769</v>
      </c>
      <c r="C42" s="85" t="s">
        <v>370</v>
      </c>
      <c r="D42" s="91"/>
    </row>
    <row r="43" spans="1:7" x14ac:dyDescent="0.3">
      <c r="A43" s="87" t="s">
        <v>312</v>
      </c>
      <c r="B43" s="179">
        <f>B42/(E16-E17)</f>
        <v>15152.71857017981</v>
      </c>
      <c r="C43" s="85" t="s">
        <v>313</v>
      </c>
      <c r="D43" s="91"/>
    </row>
    <row r="44" spans="1:7" x14ac:dyDescent="0.3">
      <c r="A44" s="87" t="s">
        <v>328</v>
      </c>
      <c r="B44" s="179">
        <f>B43/(1+E16)^10</f>
        <v>6400.672077892943</v>
      </c>
      <c r="C44" s="85" t="s">
        <v>314</v>
      </c>
      <c r="D44" s="91"/>
    </row>
    <row r="45" spans="1:7" x14ac:dyDescent="0.3">
      <c r="A45" s="87" t="s">
        <v>315</v>
      </c>
      <c r="B45" s="179">
        <f>G34</f>
        <v>4721.3704257986383</v>
      </c>
      <c r="C45" s="85" t="s">
        <v>316</v>
      </c>
      <c r="D45" s="91"/>
    </row>
    <row r="46" spans="1:7" x14ac:dyDescent="0.3">
      <c r="A46" s="87" t="s">
        <v>372</v>
      </c>
      <c r="B46" s="179">
        <f>B44+B45</f>
        <v>11122.04250369158</v>
      </c>
      <c r="C46" s="85" t="s">
        <v>317</v>
      </c>
      <c r="D46" s="173"/>
    </row>
    <row r="47" spans="1:7" x14ac:dyDescent="0.3">
      <c r="A47" s="87" t="s">
        <v>308</v>
      </c>
      <c r="B47" s="179">
        <v>1240.9000000000001</v>
      </c>
      <c r="C47" s="85" t="s">
        <v>318</v>
      </c>
      <c r="D47" s="91"/>
    </row>
    <row r="48" spans="1:7" x14ac:dyDescent="0.3">
      <c r="A48" s="87" t="s">
        <v>309</v>
      </c>
      <c r="B48" s="179">
        <v>1998.7</v>
      </c>
      <c r="C48" s="85" t="s">
        <v>319</v>
      </c>
      <c r="D48" s="91"/>
    </row>
    <row r="49" spans="1:4" x14ac:dyDescent="0.3">
      <c r="A49" s="87" t="s">
        <v>346</v>
      </c>
      <c r="B49" s="179">
        <f>B46-B47+B48</f>
        <v>11879.842503691581</v>
      </c>
      <c r="C49" s="85" t="s">
        <v>320</v>
      </c>
      <c r="D49" s="91"/>
    </row>
    <row r="50" spans="1:4" x14ac:dyDescent="0.3">
      <c r="A50" s="87" t="s">
        <v>373</v>
      </c>
      <c r="B50" s="179">
        <v>384.8</v>
      </c>
      <c r="C50" s="184" t="s">
        <v>321</v>
      </c>
      <c r="D50" s="91"/>
    </row>
    <row r="51" spans="1:4" x14ac:dyDescent="0.3">
      <c r="A51" s="90" t="s">
        <v>374</v>
      </c>
      <c r="B51" s="185">
        <f>B49/B50</f>
        <v>30.872771579240077</v>
      </c>
      <c r="C51" s="86" t="s">
        <v>311</v>
      </c>
      <c r="D51" s="91"/>
    </row>
    <row r="52" spans="1:4" x14ac:dyDescent="0.3">
      <c r="A52" s="87" t="s">
        <v>376</v>
      </c>
      <c r="B52" s="89">
        <v>79.58</v>
      </c>
      <c r="D52" s="121"/>
    </row>
    <row r="53" spans="1:4" x14ac:dyDescent="0.3">
      <c r="A53" s="186" t="s">
        <v>384</v>
      </c>
      <c r="B53" s="187">
        <f>(B51-B52)/B52</f>
        <v>-0.61205363685297709</v>
      </c>
      <c r="D53" s="9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908A-E8D7-4C5D-BC06-8370096EC62F}">
  <sheetPr>
    <tabColor theme="5" tint="0.79998168889431442"/>
  </sheetPr>
  <dimension ref="A1:G53"/>
  <sheetViews>
    <sheetView topLeftCell="A21" zoomScale="80" zoomScaleNormal="80" workbookViewId="0">
      <selection activeCell="A47" sqref="A47:B48"/>
    </sheetView>
  </sheetViews>
  <sheetFormatPr defaultRowHeight="13.8" x14ac:dyDescent="0.3"/>
  <cols>
    <col min="1" max="1" width="40.88671875" style="85" customWidth="1"/>
    <col min="2" max="2" width="29.44140625" style="86" customWidth="1"/>
    <col min="3" max="3" width="32.44140625" style="86" customWidth="1"/>
    <col min="4" max="4" width="52.6640625" style="86" customWidth="1"/>
    <col min="5" max="5" width="12.6640625" style="91" customWidth="1"/>
    <col min="6" max="6" width="38.109375" style="140" customWidth="1"/>
    <col min="7" max="7" width="16.44140625" style="91" customWidth="1"/>
    <col min="8" max="8" width="13" style="91" customWidth="1"/>
    <col min="9" max="16384" width="8.88671875" style="91"/>
  </cols>
  <sheetData>
    <row r="1" spans="1:7" x14ac:dyDescent="0.3">
      <c r="A1" s="87"/>
      <c r="B1" s="90" t="s">
        <v>290</v>
      </c>
      <c r="C1" s="88"/>
      <c r="D1" s="88"/>
    </row>
    <row r="2" spans="1:7" x14ac:dyDescent="0.3">
      <c r="A2" s="92"/>
      <c r="B2" s="93"/>
      <c r="C2" s="94"/>
      <c r="D2" s="94"/>
    </row>
    <row r="3" spans="1:7" ht="22.8" customHeight="1" x14ac:dyDescent="0.3">
      <c r="A3" s="155" t="s">
        <v>333</v>
      </c>
      <c r="B3" s="155" t="s">
        <v>330</v>
      </c>
      <c r="C3" s="155" t="s">
        <v>331</v>
      </c>
      <c r="D3" s="188" t="s">
        <v>332</v>
      </c>
    </row>
    <row r="4" spans="1:7" ht="55.8" thickBot="1" x14ac:dyDescent="0.35">
      <c r="A4" s="157" t="s">
        <v>85</v>
      </c>
      <c r="B4" s="158" t="s">
        <v>350</v>
      </c>
      <c r="C4" s="158" t="s">
        <v>351</v>
      </c>
      <c r="D4" s="189" t="s">
        <v>352</v>
      </c>
    </row>
    <row r="5" spans="1:7" ht="14.4" thickBot="1" x14ac:dyDescent="0.35">
      <c r="A5" s="160" t="s">
        <v>342</v>
      </c>
      <c r="B5" s="161" t="s">
        <v>353</v>
      </c>
      <c r="C5" s="161" t="s">
        <v>354</v>
      </c>
      <c r="D5" s="190" t="s">
        <v>355</v>
      </c>
    </row>
    <row r="6" spans="1:7" ht="14.4" thickBot="1" x14ac:dyDescent="0.35">
      <c r="A6" s="160" t="s">
        <v>282</v>
      </c>
      <c r="B6" s="161" t="s">
        <v>356</v>
      </c>
      <c r="C6" s="161" t="s">
        <v>357</v>
      </c>
      <c r="D6" s="190" t="s">
        <v>358</v>
      </c>
    </row>
    <row r="7" spans="1:7" x14ac:dyDescent="0.3">
      <c r="A7" s="163" t="s">
        <v>359</v>
      </c>
      <c r="B7" s="164" t="s">
        <v>360</v>
      </c>
      <c r="C7" s="164" t="s">
        <v>371</v>
      </c>
      <c r="D7" s="191" t="s">
        <v>361</v>
      </c>
    </row>
    <row r="8" spans="1:7" x14ac:dyDescent="0.3">
      <c r="A8" s="139"/>
      <c r="B8" s="139"/>
      <c r="C8" s="139"/>
      <c r="D8" s="139"/>
    </row>
    <row r="9" spans="1:7" x14ac:dyDescent="0.3">
      <c r="A9" s="139"/>
      <c r="B9" s="139"/>
      <c r="C9" s="139"/>
      <c r="D9" s="139"/>
    </row>
    <row r="10" spans="1:7" x14ac:dyDescent="0.3">
      <c r="A10" s="87"/>
      <c r="B10" s="95" t="s">
        <v>307</v>
      </c>
      <c r="C10" s="88"/>
      <c r="D10" s="88"/>
      <c r="E10" s="96"/>
      <c r="F10" s="192"/>
    </row>
    <row r="11" spans="1:7" x14ac:dyDescent="0.3">
      <c r="A11" s="97"/>
      <c r="B11" s="98" t="s">
        <v>291</v>
      </c>
      <c r="C11" s="98" t="s">
        <v>292</v>
      </c>
      <c r="D11" s="98" t="s">
        <v>293</v>
      </c>
      <c r="E11" s="98" t="s">
        <v>294</v>
      </c>
      <c r="F11" s="99" t="s">
        <v>295</v>
      </c>
      <c r="G11" s="100"/>
    </row>
    <row r="12" spans="1:7" ht="55.8" thickBot="1" x14ac:dyDescent="0.35">
      <c r="A12" s="101" t="s">
        <v>85</v>
      </c>
      <c r="B12" s="102" t="s">
        <v>296</v>
      </c>
      <c r="C12" s="103">
        <v>0.25</v>
      </c>
      <c r="D12" s="103">
        <v>0.12</v>
      </c>
      <c r="E12" s="104">
        <v>2.5000000000000001E-2</v>
      </c>
      <c r="F12" s="105" t="s">
        <v>386</v>
      </c>
      <c r="G12" s="100"/>
    </row>
    <row r="13" spans="1:7" ht="42" thickBot="1" x14ac:dyDescent="0.35">
      <c r="A13" s="106" t="s">
        <v>298</v>
      </c>
      <c r="B13" s="107" t="s">
        <v>299</v>
      </c>
      <c r="C13" s="107" t="s">
        <v>300</v>
      </c>
      <c r="D13" s="107" t="s">
        <v>385</v>
      </c>
      <c r="E13" s="108">
        <v>0.32</v>
      </c>
      <c r="F13" s="109" t="s">
        <v>387</v>
      </c>
      <c r="G13" s="100"/>
    </row>
    <row r="14" spans="1:7" ht="14.4" thickBot="1" x14ac:dyDescent="0.35">
      <c r="A14" s="106" t="s">
        <v>302</v>
      </c>
      <c r="B14" s="108">
        <v>0.26</v>
      </c>
      <c r="C14" s="108">
        <v>0.26</v>
      </c>
      <c r="D14" s="108">
        <v>0.26</v>
      </c>
      <c r="E14" s="108">
        <v>0.26</v>
      </c>
      <c r="F14" s="109" t="s">
        <v>363</v>
      </c>
      <c r="G14" s="100"/>
    </row>
    <row r="15" spans="1:7" ht="42" thickBot="1" x14ac:dyDescent="0.35">
      <c r="A15" s="106" t="s">
        <v>303</v>
      </c>
      <c r="B15" s="110">
        <v>2.5</v>
      </c>
      <c r="C15" s="110">
        <v>2.5</v>
      </c>
      <c r="D15" s="110">
        <v>2.5</v>
      </c>
      <c r="E15" s="110">
        <v>2.5</v>
      </c>
      <c r="F15" s="109" t="s">
        <v>388</v>
      </c>
      <c r="G15" s="100"/>
    </row>
    <row r="16" spans="1:7" ht="55.8" thickBot="1" x14ac:dyDescent="0.35">
      <c r="A16" s="106" t="s">
        <v>304</v>
      </c>
      <c r="B16" s="171">
        <v>7.0000000000000007E-2</v>
      </c>
      <c r="C16" s="171">
        <v>7.0000000000000007E-2</v>
      </c>
      <c r="D16" s="171">
        <v>7.0000000000000007E-2</v>
      </c>
      <c r="E16" s="171">
        <v>0.08</v>
      </c>
      <c r="F16" s="109" t="s">
        <v>389</v>
      </c>
      <c r="G16" s="100"/>
    </row>
    <row r="17" spans="1:7" ht="55.2" x14ac:dyDescent="0.3">
      <c r="A17" s="111" t="s">
        <v>305</v>
      </c>
      <c r="B17" s="172" t="s">
        <v>306</v>
      </c>
      <c r="C17" s="172" t="s">
        <v>306</v>
      </c>
      <c r="D17" s="172" t="s">
        <v>306</v>
      </c>
      <c r="E17" s="172">
        <v>2.5000000000000001E-2</v>
      </c>
      <c r="F17" s="112" t="s">
        <v>390</v>
      </c>
      <c r="G17" s="100"/>
    </row>
    <row r="18" spans="1:7" x14ac:dyDescent="0.3">
      <c r="A18" s="91" t="s">
        <v>214</v>
      </c>
      <c r="B18" s="113"/>
      <c r="C18" s="113"/>
      <c r="D18" s="113"/>
      <c r="E18" s="113"/>
      <c r="F18" s="113"/>
      <c r="G18" s="100"/>
    </row>
    <row r="20" spans="1:7" x14ac:dyDescent="0.3">
      <c r="A20" s="96"/>
      <c r="B20" s="96" t="s">
        <v>284</v>
      </c>
      <c r="C20" s="96"/>
      <c r="D20" s="96"/>
      <c r="E20" s="96"/>
      <c r="F20" s="192"/>
    </row>
    <row r="21" spans="1:7" x14ac:dyDescent="0.3">
      <c r="A21" s="154"/>
      <c r="B21" s="141" t="s">
        <v>283</v>
      </c>
      <c r="C21" s="141" t="s">
        <v>286</v>
      </c>
      <c r="D21" s="170" t="s">
        <v>367</v>
      </c>
      <c r="E21" s="141" t="s">
        <v>282</v>
      </c>
      <c r="F21" s="193" t="s">
        <v>287</v>
      </c>
      <c r="G21" s="141" t="s">
        <v>329</v>
      </c>
    </row>
    <row r="22" spans="1:7" x14ac:dyDescent="0.3">
      <c r="A22" s="114">
        <v>0</v>
      </c>
      <c r="B22" s="115">
        <v>4662</v>
      </c>
      <c r="C22" s="116">
        <v>0.19600000000000001</v>
      </c>
      <c r="D22" s="117">
        <f t="shared" ref="D22:D33" si="0">(B22*C22)*(1-$C$14)</f>
        <v>676.17648000000008</v>
      </c>
      <c r="E22" s="114"/>
      <c r="F22" s="194"/>
      <c r="G22" s="173"/>
    </row>
    <row r="23" spans="1:7" x14ac:dyDescent="0.3">
      <c r="A23" s="114">
        <v>1</v>
      </c>
      <c r="B23" s="118">
        <f>B22*(1+$C$12)</f>
        <v>5827.5</v>
      </c>
      <c r="C23" s="119">
        <v>0.2</v>
      </c>
      <c r="D23" s="117">
        <f t="shared" si="0"/>
        <v>862.47</v>
      </c>
      <c r="E23" s="115">
        <f>(B23-B22)/$C$15</f>
        <v>466.2</v>
      </c>
      <c r="F23" s="195">
        <f>D23-E23</f>
        <v>396.27000000000004</v>
      </c>
      <c r="G23" s="173">
        <f>F23/(1+$D$16)^1</f>
        <v>370.34579439252337</v>
      </c>
    </row>
    <row r="24" spans="1:7" x14ac:dyDescent="0.3">
      <c r="A24" s="114">
        <v>2</v>
      </c>
      <c r="B24" s="118">
        <f t="shared" ref="B24:B27" si="1">B23*(1+$C$12)</f>
        <v>7284.375</v>
      </c>
      <c r="C24" s="119">
        <v>0.21</v>
      </c>
      <c r="D24" s="117">
        <f t="shared" si="0"/>
        <v>1131.9918749999999</v>
      </c>
      <c r="E24" s="115">
        <f t="shared" ref="E24:E32" si="2">(B24-B23)/$C$15</f>
        <v>582.75</v>
      </c>
      <c r="F24" s="195">
        <f t="shared" ref="F24:F32" si="3">D24-E24</f>
        <v>549.24187499999994</v>
      </c>
      <c r="G24" s="173">
        <f>F24/(1+$D$16)^2</f>
        <v>479.7291248143942</v>
      </c>
    </row>
    <row r="25" spans="1:7" x14ac:dyDescent="0.3">
      <c r="A25" s="114">
        <v>3</v>
      </c>
      <c r="B25" s="118">
        <f t="shared" si="1"/>
        <v>9105.46875</v>
      </c>
      <c r="C25" s="119">
        <v>0.22</v>
      </c>
      <c r="D25" s="117">
        <f t="shared" si="0"/>
        <v>1482.3703125</v>
      </c>
      <c r="E25" s="115">
        <f t="shared" si="2"/>
        <v>728.4375</v>
      </c>
      <c r="F25" s="195">
        <f t="shared" si="3"/>
        <v>753.93281249999995</v>
      </c>
      <c r="G25" s="173">
        <f>F25/(1+$D$16)^3</f>
        <v>615.43375416209869</v>
      </c>
    </row>
    <row r="26" spans="1:7" x14ac:dyDescent="0.3">
      <c r="A26" s="114">
        <v>4</v>
      </c>
      <c r="B26" s="118">
        <f t="shared" si="1"/>
        <v>11381.8359375</v>
      </c>
      <c r="C26" s="119">
        <v>0.23</v>
      </c>
      <c r="D26" s="117">
        <f t="shared" si="0"/>
        <v>1937.1884765625</v>
      </c>
      <c r="E26" s="115">
        <f t="shared" si="2"/>
        <v>910.546875</v>
      </c>
      <c r="F26" s="195">
        <f t="shared" si="3"/>
        <v>1026.6416015625</v>
      </c>
      <c r="G26" s="173">
        <f>F26/(1+$D$16)^4</f>
        <v>783.21996232083438</v>
      </c>
    </row>
    <row r="27" spans="1:7" x14ac:dyDescent="0.3">
      <c r="A27" s="114">
        <v>5</v>
      </c>
      <c r="B27" s="118">
        <f t="shared" si="1"/>
        <v>14227.294921875</v>
      </c>
      <c r="C27" s="119">
        <v>0.24</v>
      </c>
      <c r="D27" s="117">
        <f t="shared" si="0"/>
        <v>2526.767578125</v>
      </c>
      <c r="E27" s="115">
        <f t="shared" si="2"/>
        <v>1138.18359375</v>
      </c>
      <c r="F27" s="195">
        <f t="shared" si="3"/>
        <v>1388.583984375</v>
      </c>
      <c r="G27" s="173">
        <f>F27/(1+$D$16)^5</f>
        <v>990.04118991174107</v>
      </c>
    </row>
    <row r="28" spans="1:7" x14ac:dyDescent="0.3">
      <c r="A28" s="114">
        <v>6</v>
      </c>
      <c r="B28" s="118">
        <f>B27*(1+$D$12)</f>
        <v>15934.570312500002</v>
      </c>
      <c r="C28" s="119">
        <v>0.25</v>
      </c>
      <c r="D28" s="117">
        <f t="shared" si="0"/>
        <v>2947.8955078125005</v>
      </c>
      <c r="E28" s="115">
        <f t="shared" si="2"/>
        <v>682.91015625000068</v>
      </c>
      <c r="F28" s="195">
        <f t="shared" si="3"/>
        <v>2264.9853515625</v>
      </c>
      <c r="G28" s="173">
        <f>F28/(1+$D$16)^6</f>
        <v>1509.2553760719818</v>
      </c>
    </row>
    <row r="29" spans="1:7" x14ac:dyDescent="0.3">
      <c r="A29" s="114">
        <v>7</v>
      </c>
      <c r="B29" s="118">
        <f t="shared" ref="B29:B31" si="4">B28*(1+$D$12)</f>
        <v>17846.718750000004</v>
      </c>
      <c r="C29" s="119">
        <v>0.26</v>
      </c>
      <c r="D29" s="117">
        <f t="shared" si="0"/>
        <v>3433.7086875000009</v>
      </c>
      <c r="E29" s="115">
        <f t="shared" si="2"/>
        <v>764.85937500000068</v>
      </c>
      <c r="F29" s="195">
        <f t="shared" si="3"/>
        <v>2668.8493125000005</v>
      </c>
      <c r="G29" s="173">
        <f>F29/(1+$D$16)^7</f>
        <v>1662.0252204882438</v>
      </c>
    </row>
    <row r="30" spans="1:7" x14ac:dyDescent="0.3">
      <c r="A30" s="114">
        <v>8</v>
      </c>
      <c r="B30" s="118">
        <f t="shared" si="4"/>
        <v>19988.325000000004</v>
      </c>
      <c r="C30" s="119">
        <v>0.27</v>
      </c>
      <c r="D30" s="117">
        <f t="shared" si="0"/>
        <v>3993.667335000001</v>
      </c>
      <c r="E30" s="115">
        <f t="shared" si="2"/>
        <v>856.64250000000027</v>
      </c>
      <c r="F30" s="195">
        <f t="shared" si="3"/>
        <v>3137.0248350000006</v>
      </c>
      <c r="G30" s="173">
        <f>F30/(1+$D$16)^8</f>
        <v>1825.7770152166379</v>
      </c>
    </row>
    <row r="31" spans="1:7" x14ac:dyDescent="0.3">
      <c r="A31" s="114">
        <v>9</v>
      </c>
      <c r="B31" s="118">
        <f t="shared" si="4"/>
        <v>22386.924000000006</v>
      </c>
      <c r="C31" s="119">
        <v>0.28000000000000003</v>
      </c>
      <c r="D31" s="117">
        <f t="shared" si="0"/>
        <v>4638.5706528000019</v>
      </c>
      <c r="E31" s="115">
        <f t="shared" si="2"/>
        <v>959.43960000000084</v>
      </c>
      <c r="F31" s="195">
        <f t="shared" si="3"/>
        <v>3679.1310528000013</v>
      </c>
      <c r="G31" s="173">
        <f>F31/(1+$D$16)^9</f>
        <v>2001.2035230070614</v>
      </c>
    </row>
    <row r="32" spans="1:7" x14ac:dyDescent="0.3">
      <c r="A32" s="114">
        <v>10</v>
      </c>
      <c r="B32" s="118">
        <f>B31*(1+$D$12)</f>
        <v>25073.35488000001</v>
      </c>
      <c r="C32" s="119">
        <v>0.28999999999999998</v>
      </c>
      <c r="D32" s="117">
        <f t="shared" si="0"/>
        <v>5380.7419572480012</v>
      </c>
      <c r="E32" s="115">
        <f t="shared" si="2"/>
        <v>1074.5723520000015</v>
      </c>
      <c r="F32" s="195">
        <f t="shared" si="3"/>
        <v>4306.1696052480002</v>
      </c>
      <c r="G32" s="173">
        <f>F32/(1+$D$16)^10</f>
        <v>2189.0382706398582</v>
      </c>
    </row>
    <row r="33" spans="1:7" x14ac:dyDescent="0.3">
      <c r="A33" s="141" t="s">
        <v>285</v>
      </c>
      <c r="B33" s="174">
        <f>B32*(1+$E$12)</f>
        <v>25700.188752000009</v>
      </c>
      <c r="C33" s="175">
        <v>0.3</v>
      </c>
      <c r="D33" s="180">
        <f t="shared" si="0"/>
        <v>5705.4419029440014</v>
      </c>
      <c r="E33" s="176">
        <f>(B33-B32)/$C$15</f>
        <v>250.73354879999971</v>
      </c>
      <c r="F33" s="196"/>
      <c r="G33" s="178"/>
    </row>
    <row r="34" spans="1:7" x14ac:dyDescent="0.3">
      <c r="A34" s="91"/>
      <c r="B34" s="91"/>
      <c r="C34" s="91"/>
      <c r="D34" s="91"/>
      <c r="F34" s="195" t="s">
        <v>368</v>
      </c>
      <c r="G34" s="173">
        <f>SUM(G23:G32)</f>
        <v>12426.069231025374</v>
      </c>
    </row>
    <row r="35" spans="1:7" x14ac:dyDescent="0.3">
      <c r="A35" s="91"/>
      <c r="B35" s="91"/>
      <c r="C35" s="91"/>
      <c r="D35" s="91"/>
    </row>
    <row r="36" spans="1:7" x14ac:dyDescent="0.3">
      <c r="A36" s="96"/>
      <c r="B36" s="96" t="s">
        <v>288</v>
      </c>
      <c r="C36" s="96"/>
      <c r="D36" s="96"/>
    </row>
    <row r="37" spans="1:7" x14ac:dyDescent="0.3">
      <c r="A37" s="91"/>
      <c r="B37" s="91"/>
      <c r="C37" s="91"/>
      <c r="D37" s="91"/>
    </row>
    <row r="38" spans="1:7" ht="15" x14ac:dyDescent="0.35">
      <c r="A38" s="85" t="s">
        <v>322</v>
      </c>
      <c r="B38" s="181">
        <f>B33</f>
        <v>25700.188752000009</v>
      </c>
      <c r="C38" s="85"/>
      <c r="D38" s="91"/>
    </row>
    <row r="39" spans="1:7" x14ac:dyDescent="0.3">
      <c r="A39" s="85" t="s">
        <v>323</v>
      </c>
      <c r="B39" s="181">
        <f>B38*E13</f>
        <v>8224.0604006400026</v>
      </c>
      <c r="C39" s="182" t="s">
        <v>324</v>
      </c>
      <c r="D39" s="91"/>
    </row>
    <row r="40" spans="1:7" x14ac:dyDescent="0.3">
      <c r="A40" s="85" t="s">
        <v>94</v>
      </c>
      <c r="B40" s="181">
        <f>B39*(1-E14)</f>
        <v>6085.8046964736022</v>
      </c>
      <c r="C40" s="85" t="s">
        <v>325</v>
      </c>
      <c r="D40" s="91"/>
    </row>
    <row r="41" spans="1:7" ht="15" x14ac:dyDescent="0.35">
      <c r="A41" s="85" t="s">
        <v>326</v>
      </c>
      <c r="B41" s="181">
        <f>(B33-B32)/E15</f>
        <v>250.73354879999971</v>
      </c>
      <c r="C41" s="85" t="s">
        <v>369</v>
      </c>
      <c r="D41" s="91"/>
    </row>
    <row r="42" spans="1:7" ht="15" x14ac:dyDescent="0.35">
      <c r="A42" s="183" t="s">
        <v>327</v>
      </c>
      <c r="B42" s="179">
        <f>B40-B41</f>
        <v>5835.0711476736024</v>
      </c>
      <c r="C42" s="85" t="s">
        <v>370</v>
      </c>
      <c r="D42" s="91"/>
    </row>
    <row r="43" spans="1:7" x14ac:dyDescent="0.3">
      <c r="A43" s="87" t="s">
        <v>312</v>
      </c>
      <c r="B43" s="179">
        <f>B42/(E16-E17)</f>
        <v>106092.20268497459</v>
      </c>
      <c r="C43" s="85" t="s">
        <v>313</v>
      </c>
      <c r="D43" s="91"/>
    </row>
    <row r="44" spans="1:7" x14ac:dyDescent="0.3">
      <c r="A44" s="87" t="s">
        <v>328</v>
      </c>
      <c r="B44" s="179">
        <f>B43/(1+E16)^10</f>
        <v>49141.217420240682</v>
      </c>
      <c r="C44" s="85" t="s">
        <v>314</v>
      </c>
      <c r="D44" s="91"/>
    </row>
    <row r="45" spans="1:7" x14ac:dyDescent="0.3">
      <c r="A45" s="87" t="s">
        <v>315</v>
      </c>
      <c r="B45" s="179">
        <f>G34</f>
        <v>12426.069231025374</v>
      </c>
      <c r="C45" s="85" t="s">
        <v>316</v>
      </c>
      <c r="D45" s="91"/>
    </row>
    <row r="46" spans="1:7" x14ac:dyDescent="0.3">
      <c r="A46" s="87" t="s">
        <v>372</v>
      </c>
      <c r="B46" s="179">
        <f>B44+B45</f>
        <v>61567.286651266055</v>
      </c>
      <c r="C46" s="85" t="s">
        <v>317</v>
      </c>
      <c r="D46" s="173"/>
    </row>
    <row r="47" spans="1:7" x14ac:dyDescent="0.3">
      <c r="A47" s="87" t="s">
        <v>308</v>
      </c>
      <c r="B47" s="179">
        <v>1240.9000000000001</v>
      </c>
      <c r="C47" s="85" t="s">
        <v>318</v>
      </c>
      <c r="D47" s="91"/>
    </row>
    <row r="48" spans="1:7" x14ac:dyDescent="0.3">
      <c r="A48" s="87" t="s">
        <v>309</v>
      </c>
      <c r="B48" s="179">
        <v>1998.7</v>
      </c>
      <c r="C48" s="85" t="s">
        <v>319</v>
      </c>
      <c r="D48" s="91"/>
    </row>
    <row r="49" spans="1:4" x14ac:dyDescent="0.3">
      <c r="A49" s="87" t="s">
        <v>346</v>
      </c>
      <c r="B49" s="179">
        <f>B46-B47+B48</f>
        <v>62325.08665126605</v>
      </c>
      <c r="C49" s="85" t="s">
        <v>320</v>
      </c>
      <c r="D49" s="91"/>
    </row>
    <row r="50" spans="1:4" x14ac:dyDescent="0.3">
      <c r="A50" s="87" t="s">
        <v>373</v>
      </c>
      <c r="B50" s="179">
        <v>384.8</v>
      </c>
      <c r="C50" s="184" t="s">
        <v>321</v>
      </c>
      <c r="D50" s="91"/>
    </row>
    <row r="51" spans="1:4" x14ac:dyDescent="0.3">
      <c r="A51" s="90" t="s">
        <v>374</v>
      </c>
      <c r="B51" s="185">
        <f>B49/B50</f>
        <v>161.96748090245853</v>
      </c>
      <c r="C51" s="86" t="s">
        <v>311</v>
      </c>
      <c r="D51" s="91"/>
    </row>
    <row r="52" spans="1:4" x14ac:dyDescent="0.3">
      <c r="A52" s="87" t="s">
        <v>376</v>
      </c>
      <c r="B52" s="89">
        <v>79.58</v>
      </c>
      <c r="D52" s="121"/>
    </row>
    <row r="53" spans="1:4" x14ac:dyDescent="0.3">
      <c r="A53" s="186" t="s">
        <v>375</v>
      </c>
      <c r="B53" s="187">
        <f>(B51-B52)/B52</f>
        <v>1.0352787245848019</v>
      </c>
      <c r="D53" s="9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6A5E-FF76-4023-BCAE-544EFFF66D66}">
  <sheetPr>
    <tabColor theme="5" tint="0.79998168889431442"/>
  </sheetPr>
  <dimension ref="A1:Y101"/>
  <sheetViews>
    <sheetView workbookViewId="0">
      <selection activeCell="I5" sqref="I5"/>
    </sheetView>
  </sheetViews>
  <sheetFormatPr defaultRowHeight="14.4" x14ac:dyDescent="0.3"/>
  <cols>
    <col min="1" max="1" width="8.88671875" style="27"/>
    <col min="2" max="2" width="25" bestFit="1" customWidth="1"/>
    <col min="3" max="3" width="18.44140625" customWidth="1"/>
    <col min="4" max="4" width="15.21875" customWidth="1"/>
    <col min="5" max="5" width="16.21875" bestFit="1" customWidth="1"/>
    <col min="6" max="6" width="9.44140625" bestFit="1" customWidth="1"/>
    <col min="9" max="9" width="12.88671875" bestFit="1" customWidth="1"/>
    <col min="10" max="11" width="8.88671875" style="27"/>
    <col min="12" max="12" width="23.88671875" bestFit="1" customWidth="1"/>
    <col min="14" max="25" width="8.88671875" style="27"/>
  </cols>
  <sheetData>
    <row r="1" spans="2:13" s="27" customFormat="1" x14ac:dyDescent="0.3">
      <c r="B1" s="28"/>
    </row>
    <row r="2" spans="2:13" s="27" customFormat="1" x14ac:dyDescent="0.3"/>
    <row r="3" spans="2:13" ht="15" thickBot="1" x14ac:dyDescent="0.35">
      <c r="B3" s="57" t="s">
        <v>218</v>
      </c>
      <c r="C3" s="58" t="s">
        <v>85</v>
      </c>
      <c r="D3" s="59" t="s">
        <v>223</v>
      </c>
      <c r="E3" s="59" t="s">
        <v>224</v>
      </c>
      <c r="F3" s="59" t="s">
        <v>397</v>
      </c>
      <c r="G3" s="59" t="s">
        <v>115</v>
      </c>
      <c r="H3" s="59" t="s">
        <v>215</v>
      </c>
      <c r="I3" s="26" t="s">
        <v>219</v>
      </c>
      <c r="J3" s="29"/>
      <c r="L3" s="27"/>
      <c r="M3" s="27"/>
    </row>
    <row r="4" spans="2:13" x14ac:dyDescent="0.3">
      <c r="B4" s="60" t="s">
        <v>222</v>
      </c>
      <c r="C4" s="61" t="s">
        <v>392</v>
      </c>
      <c r="D4" s="65" t="s">
        <v>395</v>
      </c>
      <c r="E4" s="62">
        <v>2</v>
      </c>
      <c r="F4" s="63">
        <v>0.16</v>
      </c>
      <c r="G4" s="66">
        <v>0.09</v>
      </c>
      <c r="H4" s="198">
        <v>2.5000000000000001E-2</v>
      </c>
      <c r="I4" s="83">
        <v>30.87</v>
      </c>
      <c r="J4" s="30"/>
      <c r="L4" s="27"/>
      <c r="M4" s="27"/>
    </row>
    <row r="5" spans="2:13" x14ac:dyDescent="0.3">
      <c r="B5" s="29" t="s">
        <v>221</v>
      </c>
      <c r="C5" s="64" t="s">
        <v>225</v>
      </c>
      <c r="D5" s="65" t="s">
        <v>394</v>
      </c>
      <c r="E5" s="1">
        <v>2.2000000000000002</v>
      </c>
      <c r="F5" s="66">
        <v>0.44</v>
      </c>
      <c r="G5" s="66">
        <v>0.08</v>
      </c>
      <c r="H5" s="198">
        <v>2.5000000000000001E-2</v>
      </c>
      <c r="I5" s="71">
        <v>107.1</v>
      </c>
      <c r="J5" s="31"/>
      <c r="L5" s="27"/>
      <c r="M5" s="27"/>
    </row>
    <row r="6" spans="2:13" x14ac:dyDescent="0.3">
      <c r="B6" s="67" t="s">
        <v>220</v>
      </c>
      <c r="C6" s="68" t="s">
        <v>393</v>
      </c>
      <c r="D6" s="65" t="s">
        <v>396</v>
      </c>
      <c r="E6" s="36">
        <v>2.5</v>
      </c>
      <c r="F6" s="50">
        <v>0.625</v>
      </c>
      <c r="G6" s="69">
        <v>7.0000000000000007E-2</v>
      </c>
      <c r="H6" s="50">
        <v>2.5000000000000001E-2</v>
      </c>
      <c r="I6" s="54">
        <v>161.97</v>
      </c>
      <c r="J6" s="30"/>
      <c r="L6" s="27"/>
      <c r="M6" s="27"/>
    </row>
    <row r="7" spans="2:13" s="27" customFormat="1" x14ac:dyDescent="0.3">
      <c r="B7" s="48" t="s">
        <v>108</v>
      </c>
      <c r="C7" s="52"/>
      <c r="D7" s="48"/>
      <c r="E7" s="48"/>
      <c r="F7" s="48"/>
      <c r="I7" s="70">
        <v>92.59</v>
      </c>
    </row>
    <row r="8" spans="2:13" s="27" customFormat="1" x14ac:dyDescent="0.3">
      <c r="B8" s="23" t="s">
        <v>391</v>
      </c>
      <c r="C8" s="32"/>
      <c r="I8" s="70">
        <v>79.58</v>
      </c>
    </row>
    <row r="9" spans="2:13" s="27" customFormat="1" x14ac:dyDescent="0.3">
      <c r="B9" s="49" t="s">
        <v>276</v>
      </c>
      <c r="C9" s="53">
        <v>0.156</v>
      </c>
      <c r="D9" s="50">
        <v>0.19500000000000001</v>
      </c>
      <c r="E9" s="51">
        <v>2.19</v>
      </c>
      <c r="F9" s="50">
        <v>0.317</v>
      </c>
      <c r="G9" s="49"/>
      <c r="H9" s="49"/>
      <c r="I9" s="56"/>
    </row>
    <row r="10" spans="2:13" s="27" customFormat="1" x14ac:dyDescent="0.3"/>
    <row r="11" spans="2:13" s="27" customFormat="1" x14ac:dyDescent="0.3"/>
    <row r="12" spans="2:13" s="27" customFormat="1" x14ac:dyDescent="0.3">
      <c r="C12" s="197" t="s">
        <v>398</v>
      </c>
    </row>
    <row r="13" spans="2:13" s="27" customFormat="1" x14ac:dyDescent="0.3"/>
    <row r="14" spans="2:13" s="27" customFormat="1" x14ac:dyDescent="0.3"/>
    <row r="15" spans="2:13" s="27" customFormat="1" x14ac:dyDescent="0.3"/>
    <row r="16" spans="2:13" s="27" customFormat="1" x14ac:dyDescent="0.3"/>
    <row r="17" s="27" customFormat="1" x14ac:dyDescent="0.3"/>
    <row r="18" s="27" customFormat="1" x14ac:dyDescent="0.3"/>
    <row r="19" s="27" customFormat="1" x14ac:dyDescent="0.3"/>
    <row r="20" s="27" customFormat="1" x14ac:dyDescent="0.3"/>
    <row r="21" s="27" customFormat="1" x14ac:dyDescent="0.3"/>
    <row r="22" s="27" customFormat="1" x14ac:dyDescent="0.3"/>
    <row r="23" s="27" customFormat="1" x14ac:dyDescent="0.3"/>
    <row r="24" s="27" customFormat="1" x14ac:dyDescent="0.3"/>
    <row r="25" s="27" customFormat="1" x14ac:dyDescent="0.3"/>
    <row r="26" s="27" customFormat="1" x14ac:dyDescent="0.3"/>
    <row r="27" s="27" customFormat="1" x14ac:dyDescent="0.3"/>
    <row r="28" s="27" customFormat="1" x14ac:dyDescent="0.3"/>
    <row r="29" s="27" customFormat="1" x14ac:dyDescent="0.3"/>
    <row r="30" s="27" customFormat="1" x14ac:dyDescent="0.3"/>
    <row r="31" s="27" customFormat="1" x14ac:dyDescent="0.3"/>
    <row r="32" s="27" customFormat="1" x14ac:dyDescent="0.3"/>
    <row r="33" s="27" customFormat="1" x14ac:dyDescent="0.3"/>
    <row r="34" s="27" customFormat="1" x14ac:dyDescent="0.3"/>
    <row r="35" s="27" customFormat="1" x14ac:dyDescent="0.3"/>
    <row r="36" s="27" customFormat="1" x14ac:dyDescent="0.3"/>
    <row r="37" s="27" customFormat="1" x14ac:dyDescent="0.3"/>
    <row r="38" s="27" customFormat="1" x14ac:dyDescent="0.3"/>
    <row r="39" s="27" customFormat="1" x14ac:dyDescent="0.3"/>
    <row r="40" s="27" customFormat="1" x14ac:dyDescent="0.3"/>
    <row r="41" s="27" customFormat="1" x14ac:dyDescent="0.3"/>
    <row r="42" s="27" customFormat="1" x14ac:dyDescent="0.3"/>
    <row r="43" s="27" customFormat="1" x14ac:dyDescent="0.3"/>
    <row r="44" s="27" customFormat="1" x14ac:dyDescent="0.3"/>
    <row r="45" s="27" customFormat="1" x14ac:dyDescent="0.3"/>
    <row r="46" s="27" customFormat="1" x14ac:dyDescent="0.3"/>
    <row r="47" s="27" customFormat="1" x14ac:dyDescent="0.3"/>
    <row r="48" s="27" customFormat="1" x14ac:dyDescent="0.3"/>
    <row r="49" s="27" customFormat="1" x14ac:dyDescent="0.3"/>
    <row r="50" s="27" customFormat="1" x14ac:dyDescent="0.3"/>
    <row r="51" s="27" customFormat="1" x14ac:dyDescent="0.3"/>
    <row r="52" s="27" customFormat="1" x14ac:dyDescent="0.3"/>
    <row r="53" s="27" customFormat="1" x14ac:dyDescent="0.3"/>
    <row r="54" s="27" customFormat="1" x14ac:dyDescent="0.3"/>
    <row r="55" s="27" customFormat="1" x14ac:dyDescent="0.3"/>
    <row r="56" s="27" customFormat="1" x14ac:dyDescent="0.3"/>
    <row r="57" s="27" customFormat="1" x14ac:dyDescent="0.3"/>
    <row r="58" s="27" customFormat="1" x14ac:dyDescent="0.3"/>
    <row r="59" s="27" customFormat="1" x14ac:dyDescent="0.3"/>
    <row r="60" s="27" customFormat="1" x14ac:dyDescent="0.3"/>
    <row r="61" s="27" customFormat="1" x14ac:dyDescent="0.3"/>
    <row r="62" s="27" customFormat="1" x14ac:dyDescent="0.3"/>
    <row r="63" s="27" customFormat="1" x14ac:dyDescent="0.3"/>
    <row r="64" s="27" customFormat="1" x14ac:dyDescent="0.3"/>
    <row r="65" s="27" customFormat="1" x14ac:dyDescent="0.3"/>
    <row r="66" s="27" customFormat="1" x14ac:dyDescent="0.3"/>
    <row r="67" s="27" customFormat="1" x14ac:dyDescent="0.3"/>
    <row r="68" s="27" customFormat="1" x14ac:dyDescent="0.3"/>
    <row r="69" s="27" customFormat="1" x14ac:dyDescent="0.3"/>
    <row r="70" s="27" customFormat="1" x14ac:dyDescent="0.3"/>
    <row r="71" s="27" customFormat="1" x14ac:dyDescent="0.3"/>
    <row r="72" s="27" customFormat="1" x14ac:dyDescent="0.3"/>
    <row r="73" s="27" customFormat="1" x14ac:dyDescent="0.3"/>
    <row r="74" s="27" customFormat="1" x14ac:dyDescent="0.3"/>
    <row r="75" s="27" customFormat="1" x14ac:dyDescent="0.3"/>
    <row r="76" s="27" customFormat="1" x14ac:dyDescent="0.3"/>
    <row r="77" s="27" customFormat="1" x14ac:dyDescent="0.3"/>
    <row r="78" s="27" customFormat="1" x14ac:dyDescent="0.3"/>
    <row r="79" s="27" customFormat="1" x14ac:dyDescent="0.3"/>
    <row r="80" s="27" customFormat="1" x14ac:dyDescent="0.3"/>
    <row r="81" s="27" customFormat="1" x14ac:dyDescent="0.3"/>
    <row r="82" s="27" customFormat="1" x14ac:dyDescent="0.3"/>
    <row r="83" s="27" customFormat="1" x14ac:dyDescent="0.3"/>
    <row r="84" s="27" customFormat="1" x14ac:dyDescent="0.3"/>
    <row r="85" s="27" customFormat="1" x14ac:dyDescent="0.3"/>
    <row r="86" s="27" customFormat="1" x14ac:dyDescent="0.3"/>
    <row r="87" s="27" customFormat="1" x14ac:dyDescent="0.3"/>
    <row r="88" s="27" customFormat="1" x14ac:dyDescent="0.3"/>
    <row r="89" s="27" customFormat="1" x14ac:dyDescent="0.3"/>
    <row r="90" s="27" customFormat="1" x14ac:dyDescent="0.3"/>
    <row r="91" s="27" customFormat="1" x14ac:dyDescent="0.3"/>
    <row r="92" s="27" customFormat="1" x14ac:dyDescent="0.3"/>
    <row r="93" s="27" customFormat="1" x14ac:dyDescent="0.3"/>
    <row r="94" s="27" customFormat="1" x14ac:dyDescent="0.3"/>
    <row r="95" s="27" customFormat="1" x14ac:dyDescent="0.3"/>
    <row r="96" s="27" customFormat="1" x14ac:dyDescent="0.3"/>
    <row r="97" s="27" customFormat="1" x14ac:dyDescent="0.3"/>
    <row r="98" s="27" customFormat="1" x14ac:dyDescent="0.3"/>
    <row r="99" s="27" customFormat="1" x14ac:dyDescent="0.3"/>
    <row r="100" s="27" customFormat="1" x14ac:dyDescent="0.3"/>
    <row r="101" s="27" customForma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70C0-5C20-4C01-8CDF-60202D573E52}">
  <sheetPr>
    <tabColor theme="5" tint="0.79998168889431442"/>
  </sheetPr>
  <dimension ref="A1:T95"/>
  <sheetViews>
    <sheetView topLeftCell="B1" workbookViewId="0">
      <selection activeCell="J10" sqref="J10"/>
    </sheetView>
  </sheetViews>
  <sheetFormatPr defaultRowHeight="14.4" x14ac:dyDescent="0.3"/>
  <cols>
    <col min="1" max="1" width="8.88671875" style="27"/>
    <col min="3" max="3" width="11.5546875" bestFit="1" customWidth="1"/>
    <col min="4" max="4" width="13.109375" bestFit="1" customWidth="1"/>
    <col min="5" max="5" width="15.5546875" customWidth="1"/>
    <col min="6" max="6" width="13.109375" bestFit="1" customWidth="1"/>
    <col min="7" max="8" width="8.88671875" style="27"/>
    <col min="9" max="9" width="25" style="27" bestFit="1" customWidth="1"/>
    <col min="10" max="20" width="8.88671875" style="27"/>
  </cols>
  <sheetData>
    <row r="1" spans="2:10" s="27" customFormat="1" x14ac:dyDescent="0.3">
      <c r="E1" s="27" t="s">
        <v>399</v>
      </c>
    </row>
    <row r="2" spans="2:10" s="27" customFormat="1" x14ac:dyDescent="0.3">
      <c r="D2" s="280" t="s">
        <v>215</v>
      </c>
      <c r="E2" s="281"/>
      <c r="F2" s="281"/>
      <c r="G2" s="32"/>
    </row>
    <row r="3" spans="2:10" x14ac:dyDescent="0.3">
      <c r="B3" s="27"/>
      <c r="C3" s="73"/>
      <c r="D3" s="72" t="s">
        <v>216</v>
      </c>
      <c r="E3" s="29" t="s">
        <v>226</v>
      </c>
      <c r="F3" s="29" t="s">
        <v>217</v>
      </c>
      <c r="G3" s="32"/>
    </row>
    <row r="4" spans="2:10" x14ac:dyDescent="0.3">
      <c r="B4" s="282" t="s">
        <v>115</v>
      </c>
      <c r="C4" s="74">
        <v>7.0000000000000007E-2</v>
      </c>
      <c r="D4" s="33">
        <v>123.82</v>
      </c>
      <c r="E4" s="34">
        <v>134.63</v>
      </c>
      <c r="F4" s="34">
        <v>148.16</v>
      </c>
      <c r="G4" s="32"/>
    </row>
    <row r="5" spans="2:10" x14ac:dyDescent="0.3">
      <c r="B5" s="282"/>
      <c r="C5" s="74">
        <v>0.08</v>
      </c>
      <c r="D5" s="33">
        <v>100.38</v>
      </c>
      <c r="E5" s="35">
        <v>107.1</v>
      </c>
      <c r="F5" s="34">
        <v>115.17</v>
      </c>
      <c r="G5" s="32"/>
    </row>
    <row r="6" spans="2:10" x14ac:dyDescent="0.3">
      <c r="B6" s="282"/>
      <c r="C6" s="74">
        <v>0.09</v>
      </c>
      <c r="D6" s="33">
        <v>84.24</v>
      </c>
      <c r="E6" s="34">
        <v>88.69</v>
      </c>
      <c r="F6" s="34">
        <v>93.87</v>
      </c>
      <c r="G6" s="32"/>
    </row>
    <row r="7" spans="2:10" s="27" customFormat="1" x14ac:dyDescent="0.3"/>
    <row r="8" spans="2:10" s="27" customFormat="1" x14ac:dyDescent="0.3"/>
    <row r="9" spans="2:10" x14ac:dyDescent="0.3">
      <c r="B9" s="27"/>
      <c r="C9" s="27"/>
      <c r="D9" s="27"/>
      <c r="E9" s="27"/>
      <c r="F9" s="27"/>
      <c r="I9" s="75" t="s">
        <v>108</v>
      </c>
      <c r="J9" s="76">
        <v>92.59</v>
      </c>
    </row>
    <row r="10" spans="2:10" x14ac:dyDescent="0.3">
      <c r="B10" s="27"/>
      <c r="C10" s="27"/>
      <c r="D10" s="27"/>
      <c r="E10" s="27"/>
      <c r="F10" s="27"/>
      <c r="I10" s="23" t="s">
        <v>400</v>
      </c>
      <c r="J10" s="55">
        <v>79.58</v>
      </c>
    </row>
    <row r="11" spans="2:10" s="27" customFormat="1" x14ac:dyDescent="0.3"/>
    <row r="12" spans="2:10" s="27" customFormat="1" x14ac:dyDescent="0.3">
      <c r="E12" s="84"/>
    </row>
    <row r="13" spans="2:10" s="27" customFormat="1" x14ac:dyDescent="0.3"/>
    <row r="14" spans="2:10" s="27" customFormat="1" x14ac:dyDescent="0.3"/>
    <row r="15" spans="2:10" s="27" customFormat="1" x14ac:dyDescent="0.3"/>
    <row r="16" spans="2:10" s="27" customFormat="1" x14ac:dyDescent="0.3"/>
    <row r="17" s="27" customFormat="1" x14ac:dyDescent="0.3"/>
    <row r="18" s="27" customFormat="1" x14ac:dyDescent="0.3"/>
    <row r="19" s="27" customFormat="1" x14ac:dyDescent="0.3"/>
    <row r="20" s="27" customFormat="1" x14ac:dyDescent="0.3"/>
    <row r="21" s="27" customFormat="1" x14ac:dyDescent="0.3"/>
    <row r="22" s="27" customFormat="1" x14ac:dyDescent="0.3"/>
    <row r="23" s="27" customFormat="1" x14ac:dyDescent="0.3"/>
    <row r="24" s="27" customFormat="1" x14ac:dyDescent="0.3"/>
    <row r="25" s="27" customFormat="1" x14ac:dyDescent="0.3"/>
    <row r="26" s="27" customFormat="1" x14ac:dyDescent="0.3"/>
    <row r="27" s="27" customFormat="1" x14ac:dyDescent="0.3"/>
    <row r="28" s="27" customFormat="1" x14ac:dyDescent="0.3"/>
    <row r="29" s="27" customFormat="1" x14ac:dyDescent="0.3"/>
    <row r="30" s="27" customFormat="1" x14ac:dyDescent="0.3"/>
    <row r="31" s="27" customFormat="1" x14ac:dyDescent="0.3"/>
    <row r="32" s="27" customFormat="1" x14ac:dyDescent="0.3"/>
    <row r="33" spans="2:4" s="27" customFormat="1" x14ac:dyDescent="0.3"/>
    <row r="34" spans="2:4" s="27" customFormat="1" x14ac:dyDescent="0.3"/>
    <row r="35" spans="2:4" x14ac:dyDescent="0.3">
      <c r="B35" s="27"/>
      <c r="C35" s="27"/>
      <c r="D35" s="27"/>
    </row>
    <row r="36" spans="2:4" x14ac:dyDescent="0.3">
      <c r="B36" s="27"/>
      <c r="C36" s="27"/>
      <c r="D36" s="27"/>
    </row>
    <row r="37" spans="2:4" x14ac:dyDescent="0.3">
      <c r="B37" s="27"/>
      <c r="C37" s="27"/>
      <c r="D37" s="27"/>
    </row>
    <row r="38" spans="2:4" x14ac:dyDescent="0.3">
      <c r="B38" s="27"/>
      <c r="C38" s="27"/>
      <c r="D38" s="27"/>
    </row>
    <row r="39" spans="2:4" x14ac:dyDescent="0.3">
      <c r="B39" s="27"/>
      <c r="C39" s="27"/>
      <c r="D39" s="27"/>
    </row>
    <row r="40" spans="2:4" x14ac:dyDescent="0.3">
      <c r="B40" s="27"/>
      <c r="C40" s="27"/>
      <c r="D40" s="27"/>
    </row>
    <row r="41" spans="2:4" x14ac:dyDescent="0.3">
      <c r="B41" s="27"/>
      <c r="C41" s="27"/>
      <c r="D41" s="27"/>
    </row>
    <row r="42" spans="2:4" x14ac:dyDescent="0.3">
      <c r="B42" s="27"/>
      <c r="C42" s="27"/>
      <c r="D42" s="27"/>
    </row>
    <row r="43" spans="2:4" x14ac:dyDescent="0.3">
      <c r="B43" s="27"/>
      <c r="C43" s="27"/>
      <c r="D43" s="27"/>
    </row>
    <row r="44" spans="2:4" x14ac:dyDescent="0.3">
      <c r="B44" s="27"/>
      <c r="C44" s="27"/>
      <c r="D44" s="27"/>
    </row>
    <row r="45" spans="2:4" x14ac:dyDescent="0.3">
      <c r="B45" s="27"/>
      <c r="C45" s="27"/>
      <c r="D45" s="27"/>
    </row>
    <row r="46" spans="2:4" x14ac:dyDescent="0.3">
      <c r="B46" s="27"/>
      <c r="C46" s="27"/>
      <c r="D46" s="27"/>
    </row>
    <row r="47" spans="2:4" x14ac:dyDescent="0.3">
      <c r="B47" s="27"/>
      <c r="C47" s="27"/>
      <c r="D47" s="27"/>
    </row>
    <row r="48" spans="2:4" x14ac:dyDescent="0.3">
      <c r="B48" s="27"/>
      <c r="C48" s="27"/>
      <c r="D48" s="27"/>
    </row>
    <row r="49" spans="2:4" x14ac:dyDescent="0.3">
      <c r="B49" s="27"/>
      <c r="C49" s="27"/>
      <c r="D49" s="27"/>
    </row>
    <row r="50" spans="2:4" x14ac:dyDescent="0.3">
      <c r="B50" s="27"/>
      <c r="C50" s="27"/>
      <c r="D50" s="27"/>
    </row>
    <row r="51" spans="2:4" x14ac:dyDescent="0.3">
      <c r="B51" s="27"/>
      <c r="C51" s="27"/>
      <c r="D51" s="27"/>
    </row>
    <row r="52" spans="2:4" x14ac:dyDescent="0.3">
      <c r="B52" s="27"/>
      <c r="C52" s="27"/>
      <c r="D52" s="27"/>
    </row>
    <row r="53" spans="2:4" x14ac:dyDescent="0.3">
      <c r="B53" s="27"/>
      <c r="C53" s="27"/>
      <c r="D53" s="27"/>
    </row>
    <row r="54" spans="2:4" x14ac:dyDescent="0.3">
      <c r="B54" s="27"/>
      <c r="C54" s="27"/>
      <c r="D54" s="27"/>
    </row>
    <row r="55" spans="2:4" x14ac:dyDescent="0.3">
      <c r="B55" s="27"/>
      <c r="C55" s="27"/>
      <c r="D55" s="27"/>
    </row>
    <row r="56" spans="2:4" x14ac:dyDescent="0.3">
      <c r="B56" s="27"/>
      <c r="C56" s="27"/>
      <c r="D56" s="27"/>
    </row>
    <row r="57" spans="2:4" x14ac:dyDescent="0.3">
      <c r="B57" s="27"/>
      <c r="C57" s="27"/>
      <c r="D57" s="27"/>
    </row>
    <row r="58" spans="2:4" x14ac:dyDescent="0.3">
      <c r="B58" s="27"/>
      <c r="C58" s="27"/>
      <c r="D58" s="27"/>
    </row>
    <row r="59" spans="2:4" x14ac:dyDescent="0.3">
      <c r="B59" s="27"/>
      <c r="C59" s="27"/>
      <c r="D59" s="27"/>
    </row>
    <row r="60" spans="2:4" x14ac:dyDescent="0.3">
      <c r="B60" s="27"/>
      <c r="C60" s="27"/>
      <c r="D60" s="27"/>
    </row>
    <row r="61" spans="2:4" x14ac:dyDescent="0.3">
      <c r="B61" s="27"/>
      <c r="C61" s="27"/>
      <c r="D61" s="27"/>
    </row>
    <row r="62" spans="2:4" x14ac:dyDescent="0.3">
      <c r="B62" s="27"/>
      <c r="C62" s="27"/>
      <c r="D62" s="27"/>
    </row>
    <row r="63" spans="2:4" x14ac:dyDescent="0.3">
      <c r="B63" s="27"/>
      <c r="C63" s="27"/>
      <c r="D63" s="27"/>
    </row>
    <row r="64" spans="2:4" x14ac:dyDescent="0.3">
      <c r="B64" s="27"/>
      <c r="C64" s="27"/>
      <c r="D64" s="27"/>
    </row>
    <row r="65" spans="2:4" x14ac:dyDescent="0.3">
      <c r="B65" s="27"/>
      <c r="C65" s="27"/>
      <c r="D65" s="27"/>
    </row>
    <row r="66" spans="2:4" x14ac:dyDescent="0.3">
      <c r="B66" s="27"/>
      <c r="C66" s="27"/>
      <c r="D66" s="27"/>
    </row>
    <row r="67" spans="2:4" x14ac:dyDescent="0.3">
      <c r="B67" s="27"/>
      <c r="C67" s="27"/>
      <c r="D67" s="27"/>
    </row>
    <row r="68" spans="2:4" x14ac:dyDescent="0.3">
      <c r="B68" s="27"/>
      <c r="C68" s="27"/>
      <c r="D68" s="27"/>
    </row>
    <row r="69" spans="2:4" x14ac:dyDescent="0.3">
      <c r="B69" s="27"/>
      <c r="C69" s="27"/>
      <c r="D69" s="27"/>
    </row>
    <row r="70" spans="2:4" x14ac:dyDescent="0.3">
      <c r="B70" s="27"/>
      <c r="C70" s="27"/>
      <c r="D70" s="27"/>
    </row>
    <row r="71" spans="2:4" x14ac:dyDescent="0.3">
      <c r="B71" s="27"/>
      <c r="C71" s="27"/>
      <c r="D71" s="27"/>
    </row>
    <row r="72" spans="2:4" x14ac:dyDescent="0.3">
      <c r="B72" s="27"/>
      <c r="C72" s="27"/>
      <c r="D72" s="27"/>
    </row>
    <row r="73" spans="2:4" x14ac:dyDescent="0.3">
      <c r="B73" s="27"/>
      <c r="C73" s="27"/>
      <c r="D73" s="27"/>
    </row>
    <row r="74" spans="2:4" x14ac:dyDescent="0.3">
      <c r="B74" s="27"/>
      <c r="C74" s="27"/>
      <c r="D74" s="27"/>
    </row>
    <row r="75" spans="2:4" x14ac:dyDescent="0.3">
      <c r="B75" s="27"/>
      <c r="C75" s="27"/>
      <c r="D75" s="27"/>
    </row>
    <row r="76" spans="2:4" x14ac:dyDescent="0.3">
      <c r="B76" s="27"/>
      <c r="C76" s="27"/>
      <c r="D76" s="27"/>
    </row>
    <row r="77" spans="2:4" x14ac:dyDescent="0.3">
      <c r="B77" s="27"/>
      <c r="C77" s="27"/>
      <c r="D77" s="27"/>
    </row>
    <row r="78" spans="2:4" x14ac:dyDescent="0.3">
      <c r="B78" s="27"/>
      <c r="C78" s="27"/>
      <c r="D78" s="27"/>
    </row>
    <row r="79" spans="2:4" x14ac:dyDescent="0.3">
      <c r="B79" s="27"/>
      <c r="C79" s="27"/>
      <c r="D79" s="27"/>
    </row>
    <row r="80" spans="2:4" x14ac:dyDescent="0.3">
      <c r="B80" s="27"/>
      <c r="C80" s="27"/>
      <c r="D80" s="27"/>
    </row>
    <row r="81" spans="2:4" x14ac:dyDescent="0.3">
      <c r="B81" s="27"/>
      <c r="C81" s="27"/>
      <c r="D81" s="27"/>
    </row>
    <row r="82" spans="2:4" x14ac:dyDescent="0.3">
      <c r="B82" s="27"/>
      <c r="C82" s="27"/>
      <c r="D82" s="27"/>
    </row>
    <row r="83" spans="2:4" x14ac:dyDescent="0.3">
      <c r="B83" s="27"/>
      <c r="C83" s="27"/>
      <c r="D83" s="27"/>
    </row>
    <row r="84" spans="2:4" x14ac:dyDescent="0.3">
      <c r="B84" s="27"/>
      <c r="C84" s="27"/>
      <c r="D84" s="27"/>
    </row>
    <row r="85" spans="2:4" x14ac:dyDescent="0.3">
      <c r="B85" s="27"/>
      <c r="C85" s="27"/>
      <c r="D85" s="27"/>
    </row>
    <row r="86" spans="2:4" x14ac:dyDescent="0.3">
      <c r="B86" s="27"/>
      <c r="C86" s="27"/>
      <c r="D86" s="27"/>
    </row>
    <row r="87" spans="2:4" x14ac:dyDescent="0.3">
      <c r="B87" s="27"/>
      <c r="C87" s="27"/>
      <c r="D87" s="27"/>
    </row>
    <row r="88" spans="2:4" x14ac:dyDescent="0.3">
      <c r="B88" s="27"/>
      <c r="C88" s="27"/>
      <c r="D88" s="27"/>
    </row>
    <row r="89" spans="2:4" x14ac:dyDescent="0.3">
      <c r="B89" s="27"/>
      <c r="C89" s="27"/>
      <c r="D89" s="27"/>
    </row>
    <row r="90" spans="2:4" x14ac:dyDescent="0.3">
      <c r="B90" s="27"/>
      <c r="C90" s="27"/>
      <c r="D90" s="27"/>
    </row>
    <row r="91" spans="2:4" x14ac:dyDescent="0.3">
      <c r="B91" s="27"/>
      <c r="C91" s="27"/>
      <c r="D91" s="27"/>
    </row>
    <row r="92" spans="2:4" x14ac:dyDescent="0.3">
      <c r="B92" s="27"/>
      <c r="C92" s="27"/>
      <c r="D92" s="27"/>
    </row>
    <row r="93" spans="2:4" x14ac:dyDescent="0.3">
      <c r="B93" s="27"/>
      <c r="C93" s="27"/>
      <c r="D93" s="27"/>
    </row>
    <row r="94" spans="2:4" x14ac:dyDescent="0.3">
      <c r="B94" s="27"/>
      <c r="C94" s="27"/>
      <c r="D94" s="27"/>
    </row>
    <row r="95" spans="2:4" x14ac:dyDescent="0.3">
      <c r="B95" s="27"/>
      <c r="C95" s="27"/>
      <c r="D95" s="27"/>
    </row>
  </sheetData>
  <mergeCells count="2">
    <mergeCell ref="D2:F2"/>
    <mergeCell ref="B4:B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B5DE-9C46-436E-9059-AD6886E59693}">
  <sheetPr>
    <tabColor theme="5" tint="0.79998168889431442"/>
  </sheetPr>
  <dimension ref="A1:L30"/>
  <sheetViews>
    <sheetView workbookViewId="0">
      <selection activeCell="H14" sqref="H14"/>
    </sheetView>
  </sheetViews>
  <sheetFormatPr defaultRowHeight="13.8" x14ac:dyDescent="0.3"/>
  <cols>
    <col min="1" max="1" width="39.33203125" style="210" customWidth="1"/>
    <col min="2" max="2" width="17.77734375" style="210" customWidth="1"/>
    <col min="3" max="3" width="14.77734375" style="210" customWidth="1"/>
    <col min="4" max="4" width="13.33203125" style="210" customWidth="1"/>
    <col min="5" max="5" width="15.44140625" style="210" customWidth="1"/>
    <col min="6" max="6" width="22.33203125" style="210" customWidth="1"/>
    <col min="7" max="7" width="20.5546875" style="210" bestFit="1" customWidth="1"/>
    <col min="8" max="8" width="20.5546875" style="210" customWidth="1"/>
    <col min="9" max="9" width="13.88671875" style="210" customWidth="1"/>
    <col min="10" max="10" width="10.109375" style="210" customWidth="1"/>
    <col min="11" max="11" width="11.21875" style="210" customWidth="1"/>
    <col min="12" max="16384" width="8.88671875" style="210"/>
  </cols>
  <sheetData>
    <row r="1" spans="1:12" x14ac:dyDescent="0.3">
      <c r="A1" s="228" t="s">
        <v>424</v>
      </c>
    </row>
    <row r="2" spans="1:12" x14ac:dyDescent="0.3">
      <c r="A2" s="211" t="s">
        <v>98</v>
      </c>
      <c r="B2" s="211" t="s">
        <v>411</v>
      </c>
      <c r="C2" s="211" t="s">
        <v>410</v>
      </c>
      <c r="D2" s="211" t="s">
        <v>409</v>
      </c>
      <c r="E2" s="211" t="s">
        <v>413</v>
      </c>
      <c r="F2" s="211" t="s">
        <v>408</v>
      </c>
      <c r="G2" s="211" t="s">
        <v>405</v>
      </c>
      <c r="H2" s="211" t="s">
        <v>412</v>
      </c>
      <c r="I2" s="211" t="s">
        <v>414</v>
      </c>
      <c r="J2" s="211" t="s">
        <v>93</v>
      </c>
      <c r="K2" s="211" t="s">
        <v>109</v>
      </c>
    </row>
    <row r="3" spans="1:12" ht="14.4" x14ac:dyDescent="0.3">
      <c r="A3" s="212" t="s">
        <v>69</v>
      </c>
      <c r="B3" s="213">
        <v>4662</v>
      </c>
      <c r="C3" s="213">
        <v>1998.7</v>
      </c>
      <c r="D3" s="213">
        <v>1240.9000000000001</v>
      </c>
      <c r="E3" s="214">
        <v>2.09</v>
      </c>
      <c r="F3" s="214">
        <v>384.8</v>
      </c>
      <c r="G3" s="214">
        <v>79.58</v>
      </c>
      <c r="H3" s="215">
        <f>G3*F3</f>
        <v>30622.384000000002</v>
      </c>
      <c r="I3" s="215">
        <f>H3+D3-C3</f>
        <v>29864.584000000003</v>
      </c>
      <c r="J3" s="218">
        <f>I3/B3</f>
        <v>6.4059596739596749</v>
      </c>
      <c r="K3" s="218">
        <f>G3/E3</f>
        <v>38.076555023923447</v>
      </c>
      <c r="L3" s="216" t="s">
        <v>417</v>
      </c>
    </row>
    <row r="4" spans="1:12" ht="14.4" x14ac:dyDescent="0.3">
      <c r="A4" s="212" t="s">
        <v>4</v>
      </c>
      <c r="B4" s="217">
        <v>44328</v>
      </c>
      <c r="C4" s="217">
        <v>8522</v>
      </c>
      <c r="D4" s="217">
        <v>12929</v>
      </c>
      <c r="E4" s="214">
        <v>3.72</v>
      </c>
      <c r="F4" s="214">
        <v>1996.8</v>
      </c>
      <c r="G4" s="214">
        <v>103.1</v>
      </c>
      <c r="H4" s="215">
        <f t="shared" ref="H4:H5" si="0">G4*F4</f>
        <v>205870.07999999999</v>
      </c>
      <c r="I4" s="215">
        <f t="shared" ref="I4:I5" si="1">H4+D4-C4</f>
        <v>210277.08</v>
      </c>
      <c r="J4" s="218">
        <f t="shared" ref="J4:J5" si="2">I4/B4</f>
        <v>4.7436626962642121</v>
      </c>
      <c r="K4" s="218">
        <f t="shared" ref="K4:K5" si="3">G4/E4</f>
        <v>27.715053763440856</v>
      </c>
      <c r="L4" s="216" t="s">
        <v>416</v>
      </c>
    </row>
    <row r="5" spans="1:12" ht="14.4" x14ac:dyDescent="0.3">
      <c r="A5" s="212" t="s">
        <v>5</v>
      </c>
      <c r="B5" s="214">
        <v>2710</v>
      </c>
      <c r="C5" s="214">
        <v>716.1</v>
      </c>
      <c r="D5" s="214">
        <v>949.2</v>
      </c>
      <c r="E5" s="214">
        <v>3.48</v>
      </c>
      <c r="F5" s="214">
        <v>70.599999999999994</v>
      </c>
      <c r="G5" s="214">
        <v>148.07</v>
      </c>
      <c r="H5" s="215">
        <f t="shared" si="0"/>
        <v>10453.741999999998</v>
      </c>
      <c r="I5" s="215">
        <f t="shared" si="1"/>
        <v>10686.841999999999</v>
      </c>
      <c r="J5" s="218">
        <f t="shared" si="2"/>
        <v>3.9434841328413279</v>
      </c>
      <c r="K5" s="218">
        <f t="shared" si="3"/>
        <v>42.548850574712645</v>
      </c>
      <c r="L5" s="216" t="s">
        <v>415</v>
      </c>
    </row>
    <row r="8" spans="1:12" x14ac:dyDescent="0.3">
      <c r="A8" s="228" t="s">
        <v>425</v>
      </c>
    </row>
    <row r="9" spans="1:12" x14ac:dyDescent="0.3">
      <c r="A9" s="224" t="s">
        <v>421</v>
      </c>
      <c r="B9" s="225" t="s">
        <v>91</v>
      </c>
      <c r="C9" s="225" t="s">
        <v>422</v>
      </c>
      <c r="D9" s="225" t="s">
        <v>423</v>
      </c>
      <c r="E9" s="225" t="s">
        <v>93</v>
      </c>
      <c r="F9" s="225" t="s">
        <v>92</v>
      </c>
      <c r="H9" s="210" t="s">
        <v>406</v>
      </c>
    </row>
    <row r="10" spans="1:12" x14ac:dyDescent="0.3">
      <c r="A10" s="220" t="s">
        <v>418</v>
      </c>
      <c r="B10" s="221">
        <v>204</v>
      </c>
      <c r="C10" s="222">
        <v>4.3647450181979064</v>
      </c>
      <c r="D10" s="223">
        <v>9.6083587059277178E-2</v>
      </c>
      <c r="E10" s="229">
        <v>4.762600760397512</v>
      </c>
      <c r="F10" s="223">
        <v>0.15469745078594013</v>
      </c>
      <c r="H10" s="210" t="s">
        <v>407</v>
      </c>
    </row>
    <row r="11" spans="1:12" x14ac:dyDescent="0.3">
      <c r="A11" s="220" t="s">
        <v>419</v>
      </c>
      <c r="B11" s="221">
        <v>104</v>
      </c>
      <c r="C11" s="222">
        <v>0.36549153000090839</v>
      </c>
      <c r="D11" s="223">
        <v>1.2531388303935671E-2</v>
      </c>
      <c r="E11" s="229">
        <v>0.45778331362617514</v>
      </c>
      <c r="F11" s="223">
        <v>2.9903753130709358E-2</v>
      </c>
    </row>
    <row r="12" spans="1:12" x14ac:dyDescent="0.3">
      <c r="A12" s="220" t="s">
        <v>420</v>
      </c>
      <c r="B12" s="221">
        <v>115</v>
      </c>
      <c r="C12" s="222">
        <v>4.7029110555103646</v>
      </c>
      <c r="D12" s="223">
        <v>7.4510513501157366E-2</v>
      </c>
      <c r="E12" s="229">
        <v>5.3091884213580105</v>
      </c>
      <c r="F12" s="223">
        <v>0.14752546298878391</v>
      </c>
    </row>
    <row r="13" spans="1:12" x14ac:dyDescent="0.3">
      <c r="H13" s="256"/>
    </row>
    <row r="15" spans="1:12" ht="14.4" x14ac:dyDescent="0.3">
      <c r="A15" s="219" t="s">
        <v>426</v>
      </c>
    </row>
    <row r="16" spans="1:12" ht="14.4" x14ac:dyDescent="0.3">
      <c r="A16" s="216" t="s">
        <v>427</v>
      </c>
    </row>
    <row r="18" spans="1:3" x14ac:dyDescent="0.3">
      <c r="A18" s="227" t="s">
        <v>428</v>
      </c>
    </row>
    <row r="20" spans="1:3" x14ac:dyDescent="0.3">
      <c r="A20" s="210" t="s">
        <v>430</v>
      </c>
      <c r="B20" s="210">
        <v>4.76</v>
      </c>
    </row>
    <row r="21" spans="1:3" x14ac:dyDescent="0.3">
      <c r="A21" s="210" t="s">
        <v>434</v>
      </c>
      <c r="B21" s="210">
        <f>B3*B20</f>
        <v>22191.119999999999</v>
      </c>
      <c r="C21" s="210" t="s">
        <v>429</v>
      </c>
    </row>
    <row r="22" spans="1:3" x14ac:dyDescent="0.3">
      <c r="A22" s="210" t="s">
        <v>433</v>
      </c>
      <c r="B22" s="210">
        <f>B21-D3+C3</f>
        <v>22948.92</v>
      </c>
      <c r="C22" s="210" t="s">
        <v>431</v>
      </c>
    </row>
    <row r="23" spans="1:3" x14ac:dyDescent="0.3">
      <c r="A23" s="226" t="s">
        <v>432</v>
      </c>
      <c r="B23" s="232">
        <f>B22/F3</f>
        <v>59.638565488565483</v>
      </c>
    </row>
    <row r="24" spans="1:3" x14ac:dyDescent="0.3">
      <c r="A24" s="210" t="s">
        <v>435</v>
      </c>
      <c r="B24" s="210">
        <f>B21/B3</f>
        <v>4.76</v>
      </c>
    </row>
    <row r="26" spans="1:3" x14ac:dyDescent="0.3">
      <c r="A26" s="227" t="s">
        <v>436</v>
      </c>
      <c r="B26" s="230">
        <f>J3</f>
        <v>6.4059596739596749</v>
      </c>
    </row>
    <row r="27" spans="1:3" x14ac:dyDescent="0.3">
      <c r="A27" s="227" t="s">
        <v>437</v>
      </c>
      <c r="B27" s="227">
        <f>B24</f>
        <v>4.76</v>
      </c>
    </row>
    <row r="28" spans="1:3" x14ac:dyDescent="0.3">
      <c r="B28" s="231">
        <f>B26/B27-1</f>
        <v>0.34578984747052011</v>
      </c>
    </row>
    <row r="30" spans="1:3" x14ac:dyDescent="0.3">
      <c r="A30" s="210" t="s">
        <v>438</v>
      </c>
    </row>
  </sheetData>
  <hyperlinks>
    <hyperlink ref="L5" r:id="rId1" xr:uid="{F00A8145-044D-4621-92C3-3404855C6491}"/>
    <hyperlink ref="L4" r:id="rId2" xr:uid="{E0AE54EB-58C4-40B5-8829-D57F047360ED}"/>
    <hyperlink ref="L3" r:id="rId3" xr:uid="{B8951930-3D62-4DD9-A037-EA4813111E1F}"/>
    <hyperlink ref="A16" r:id="rId4" display="https://pages.stern.nyu.edu/~adamodar/New_Home_Page/datafile/psdata.html" xr:uid="{DD6A8066-13E6-4F58-BCDD-4544059283AC}"/>
    <hyperlink ref="A15" r:id="rId5" display="https://pages.stern.nyu.edu/~adamodar/New_Home_Page/datacurrent.html" xr:uid="{1A73A49F-AD82-4BF2-94C1-02528DD49BE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7D7C-F74B-4AED-8779-809D6DFD4D66}">
  <sheetPr>
    <tabColor theme="5" tint="0.79998168889431442"/>
  </sheetPr>
  <dimension ref="A1:N32"/>
  <sheetViews>
    <sheetView topLeftCell="A26" zoomScale="80" zoomScaleNormal="80" workbookViewId="0">
      <selection activeCell="C6" sqref="C6"/>
    </sheetView>
  </sheetViews>
  <sheetFormatPr defaultRowHeight="12" x14ac:dyDescent="0.25"/>
  <cols>
    <col min="1" max="1" width="14.21875" style="143" bestFit="1" customWidth="1"/>
    <col min="2" max="2" width="29.21875" style="143" customWidth="1"/>
    <col min="3" max="3" width="15.88671875" style="143" customWidth="1"/>
    <col min="4" max="4" width="12" style="143" customWidth="1"/>
    <col min="5" max="5" width="13.77734375" style="143" customWidth="1"/>
    <col min="6" max="6" width="18.77734375" style="143" customWidth="1"/>
    <col min="7" max="7" width="19.77734375" style="143" customWidth="1"/>
    <col min="8" max="8" width="24.88671875" style="143" customWidth="1"/>
    <col min="9" max="10" width="8.88671875" style="143"/>
    <col min="11" max="11" width="26.5546875" style="143" customWidth="1"/>
    <col min="12" max="12" width="22.21875" style="143" customWidth="1"/>
    <col min="13" max="13" width="20.109375" style="143" customWidth="1"/>
    <col min="14" max="14" width="24.21875" style="143" customWidth="1"/>
    <col min="15" max="16384" width="8.88671875" style="143"/>
  </cols>
  <sheetData>
    <row r="1" spans="1:14" x14ac:dyDescent="0.25">
      <c r="A1" s="209" t="s">
        <v>402</v>
      </c>
      <c r="B1" s="144"/>
      <c r="C1" s="144"/>
      <c r="D1" s="144"/>
      <c r="E1" s="144"/>
      <c r="F1" s="144"/>
      <c r="G1" s="144"/>
      <c r="H1" s="144"/>
    </row>
    <row r="2" spans="1:14" ht="24" x14ac:dyDescent="0.25">
      <c r="A2" s="144"/>
      <c r="B2" s="199" t="s">
        <v>172</v>
      </c>
      <c r="C2" s="199" t="s">
        <v>84</v>
      </c>
      <c r="D2" s="200" t="s">
        <v>168</v>
      </c>
      <c r="E2" s="200" t="s">
        <v>403</v>
      </c>
      <c r="F2" s="199" t="s">
        <v>163</v>
      </c>
      <c r="G2" s="199" t="s">
        <v>164</v>
      </c>
      <c r="H2" s="199" t="s">
        <v>401</v>
      </c>
      <c r="K2" s="145" t="s">
        <v>172</v>
      </c>
      <c r="L2" s="146" t="s">
        <v>280</v>
      </c>
      <c r="M2" s="146" t="s">
        <v>281</v>
      </c>
      <c r="N2" s="146" t="s">
        <v>162</v>
      </c>
    </row>
    <row r="3" spans="1:14" ht="36" x14ac:dyDescent="0.25">
      <c r="A3" s="204" t="s">
        <v>227</v>
      </c>
      <c r="B3" s="201" t="s">
        <v>2</v>
      </c>
      <c r="C3" s="201" t="s">
        <v>234</v>
      </c>
      <c r="D3" s="202" t="s">
        <v>343</v>
      </c>
      <c r="E3" s="203">
        <v>0.15</v>
      </c>
      <c r="F3" s="201" t="s">
        <v>231</v>
      </c>
      <c r="G3" s="201" t="s">
        <v>274</v>
      </c>
      <c r="H3" s="205" t="s">
        <v>169</v>
      </c>
      <c r="K3" s="145" t="s">
        <v>2</v>
      </c>
      <c r="L3" s="146">
        <v>13.4</v>
      </c>
      <c r="M3" s="150">
        <f>L3*(1+N3)^5</f>
        <v>26.952186312499993</v>
      </c>
      <c r="N3" s="147">
        <v>0.15</v>
      </c>
    </row>
    <row r="4" spans="1:14" ht="48.6" customHeight="1" x14ac:dyDescent="0.25">
      <c r="A4" s="283" t="s">
        <v>228</v>
      </c>
      <c r="B4" s="201" t="s">
        <v>3</v>
      </c>
      <c r="C4" s="201" t="s">
        <v>235</v>
      </c>
      <c r="D4" s="202" t="s">
        <v>236</v>
      </c>
      <c r="E4" s="203">
        <v>9.0999999999999998E-2</v>
      </c>
      <c r="F4" s="201" t="s">
        <v>232</v>
      </c>
      <c r="G4" s="201" t="s">
        <v>274</v>
      </c>
      <c r="H4" s="205" t="s">
        <v>170</v>
      </c>
      <c r="K4" s="145" t="s">
        <v>3</v>
      </c>
      <c r="L4" s="146">
        <v>32</v>
      </c>
      <c r="M4" s="150">
        <f>L4*(1+N4)^5</f>
        <v>49.462234404046427</v>
      </c>
      <c r="N4" s="147">
        <v>9.0999999999999998E-2</v>
      </c>
    </row>
    <row r="5" spans="1:14" ht="36" x14ac:dyDescent="0.25">
      <c r="A5" s="283"/>
      <c r="B5" s="201" t="s">
        <v>229</v>
      </c>
      <c r="C5" s="201" t="s">
        <v>237</v>
      </c>
      <c r="D5" s="202" t="s">
        <v>244</v>
      </c>
      <c r="E5" s="203">
        <v>0.29499999999999998</v>
      </c>
      <c r="F5" s="201" t="s">
        <v>238</v>
      </c>
      <c r="G5" s="201" t="s">
        <v>274</v>
      </c>
      <c r="H5" s="205" t="s">
        <v>230</v>
      </c>
      <c r="K5" s="145" t="s">
        <v>229</v>
      </c>
      <c r="L5" s="146">
        <v>54</v>
      </c>
      <c r="M5" s="150">
        <f>L5*(1+N5)^5</f>
        <v>196.67203064420619</v>
      </c>
      <c r="N5" s="147">
        <v>0.29499999999999998</v>
      </c>
    </row>
    <row r="6" spans="1:14" ht="36" x14ac:dyDescent="0.25">
      <c r="A6" s="283"/>
      <c r="B6" s="201" t="s">
        <v>239</v>
      </c>
      <c r="C6" s="201" t="s">
        <v>240</v>
      </c>
      <c r="D6" s="202" t="s">
        <v>245</v>
      </c>
      <c r="E6" s="203">
        <v>8.6999999999999994E-2</v>
      </c>
      <c r="F6" s="201" t="s">
        <v>241</v>
      </c>
      <c r="G6" s="201" t="s">
        <v>275</v>
      </c>
      <c r="H6" s="205" t="s">
        <v>233</v>
      </c>
      <c r="K6" s="145" t="s">
        <v>239</v>
      </c>
      <c r="L6" s="146">
        <v>130</v>
      </c>
      <c r="M6" s="150">
        <f>L6*(1+N6)^5</f>
        <v>197.28364019184684</v>
      </c>
      <c r="N6" s="147">
        <v>8.6999999999999994E-2</v>
      </c>
    </row>
    <row r="7" spans="1:14" ht="36" x14ac:dyDescent="0.25">
      <c r="A7" s="283"/>
      <c r="B7" s="201" t="s">
        <v>242</v>
      </c>
      <c r="C7" s="201" t="s">
        <v>243</v>
      </c>
      <c r="D7" s="202" t="s">
        <v>246</v>
      </c>
      <c r="E7" s="203">
        <v>0.23</v>
      </c>
      <c r="F7" s="201"/>
      <c r="G7" s="201" t="s">
        <v>274</v>
      </c>
      <c r="H7" s="205" t="s">
        <v>171</v>
      </c>
      <c r="K7" s="145" t="s">
        <v>242</v>
      </c>
      <c r="L7" s="146">
        <v>347</v>
      </c>
      <c r="M7" s="150">
        <f>L7*(1+N7)^5</f>
        <v>976.91107245209992</v>
      </c>
      <c r="N7" s="147">
        <v>0.23</v>
      </c>
    </row>
    <row r="10" spans="1:14" x14ac:dyDescent="0.25">
      <c r="A10" s="142" t="s">
        <v>404</v>
      </c>
    </row>
    <row r="11" spans="1:14" x14ac:dyDescent="0.25">
      <c r="E11" s="149"/>
      <c r="F11" s="149"/>
      <c r="G11" s="149"/>
    </row>
    <row r="12" spans="1:14" x14ac:dyDescent="0.25">
      <c r="B12" s="143" t="s">
        <v>273</v>
      </c>
      <c r="E12" s="149"/>
      <c r="F12" s="149"/>
      <c r="G12" s="149"/>
    </row>
    <row r="13" spans="1:14" x14ac:dyDescent="0.25">
      <c r="B13" s="206">
        <v>2025</v>
      </c>
      <c r="C13" s="206">
        <v>2023</v>
      </c>
      <c r="D13" s="206">
        <v>2020</v>
      </c>
    </row>
    <row r="14" spans="1:14" x14ac:dyDescent="0.25">
      <c r="A14" s="207" t="s">
        <v>69</v>
      </c>
      <c r="B14" s="208" t="s">
        <v>72</v>
      </c>
      <c r="C14" s="208" t="s">
        <v>71</v>
      </c>
      <c r="D14" s="208" t="s">
        <v>272</v>
      </c>
      <c r="H14" s="149"/>
    </row>
    <row r="15" spans="1:14" x14ac:dyDescent="0.25">
      <c r="A15" s="207" t="s">
        <v>271</v>
      </c>
      <c r="B15" s="208" t="s">
        <v>73</v>
      </c>
      <c r="C15" s="208" t="s">
        <v>70</v>
      </c>
      <c r="D15" s="208"/>
    </row>
    <row r="16" spans="1:14" x14ac:dyDescent="0.25">
      <c r="A16" s="148"/>
      <c r="B16" s="149"/>
      <c r="C16" s="149"/>
      <c r="D16" s="149"/>
    </row>
    <row r="18" spans="1:5" x14ac:dyDescent="0.25">
      <c r="A18" s="142" t="s">
        <v>165</v>
      </c>
      <c r="C18" s="143" t="s">
        <v>74</v>
      </c>
      <c r="D18" s="143" t="s">
        <v>75</v>
      </c>
    </row>
    <row r="19" spans="1:5" x14ac:dyDescent="0.25">
      <c r="B19" s="143" t="s">
        <v>76</v>
      </c>
      <c r="C19" s="149" t="s">
        <v>79</v>
      </c>
    </row>
    <row r="20" spans="1:5" x14ac:dyDescent="0.25">
      <c r="B20" s="143" t="s">
        <v>77</v>
      </c>
      <c r="C20" s="149" t="s">
        <v>78</v>
      </c>
    </row>
    <row r="22" spans="1:5" x14ac:dyDescent="0.25">
      <c r="C22" s="151" t="s">
        <v>270</v>
      </c>
      <c r="D22" s="152" t="s">
        <v>100</v>
      </c>
      <c r="E22" s="152"/>
    </row>
    <row r="23" spans="1:5" x14ac:dyDescent="0.25">
      <c r="B23" s="152" t="s">
        <v>166</v>
      </c>
      <c r="C23" s="151" t="s">
        <v>82</v>
      </c>
      <c r="D23" s="152" t="s">
        <v>344</v>
      </c>
      <c r="E23" s="152" t="s">
        <v>259</v>
      </c>
    </row>
    <row r="24" spans="1:5" x14ac:dyDescent="0.25">
      <c r="B24" s="152" t="s">
        <v>167</v>
      </c>
      <c r="C24" s="151" t="s">
        <v>247</v>
      </c>
      <c r="D24" s="152" t="s">
        <v>267</v>
      </c>
      <c r="E24" s="152"/>
    </row>
    <row r="25" spans="1:5" x14ac:dyDescent="0.25">
      <c r="B25" s="152" t="s">
        <v>80</v>
      </c>
      <c r="C25" s="153">
        <v>0.6</v>
      </c>
      <c r="D25" s="152" t="s">
        <v>264</v>
      </c>
      <c r="E25" s="152" t="s">
        <v>260</v>
      </c>
    </row>
    <row r="26" spans="1:5" x14ac:dyDescent="0.25">
      <c r="B26" s="152" t="s">
        <v>256</v>
      </c>
      <c r="C26" s="153" t="s">
        <v>265</v>
      </c>
      <c r="D26" s="152" t="s">
        <v>266</v>
      </c>
      <c r="E26" s="152" t="s">
        <v>261</v>
      </c>
    </row>
    <row r="27" spans="1:5" x14ac:dyDescent="0.25">
      <c r="B27" s="152" t="s">
        <v>257</v>
      </c>
      <c r="C27" s="151" t="s">
        <v>258</v>
      </c>
      <c r="D27" s="152" t="s">
        <v>268</v>
      </c>
      <c r="E27" s="152" t="s">
        <v>262</v>
      </c>
    </row>
    <row r="28" spans="1:5" x14ac:dyDescent="0.25">
      <c r="B28" s="152" t="s">
        <v>81</v>
      </c>
      <c r="C28" s="151" t="s">
        <v>83</v>
      </c>
      <c r="D28" s="152" t="s">
        <v>269</v>
      </c>
      <c r="E28" s="152" t="s">
        <v>263</v>
      </c>
    </row>
    <row r="30" spans="1:5" x14ac:dyDescent="0.25">
      <c r="B30" s="143" t="s">
        <v>248</v>
      </c>
    </row>
    <row r="31" spans="1:5" x14ac:dyDescent="0.25">
      <c r="B31" s="143" t="s">
        <v>249</v>
      </c>
    </row>
    <row r="32" spans="1:5" x14ac:dyDescent="0.25">
      <c r="B32" s="143" t="s">
        <v>250</v>
      </c>
    </row>
  </sheetData>
  <mergeCells count="1">
    <mergeCell ref="A4:A7"/>
  </mergeCells>
  <hyperlinks>
    <hyperlink ref="H3" r:id="rId1" xr:uid="{F5A03F82-BEF5-46D9-A0B5-F5B4E371903C}"/>
    <hyperlink ref="H4" r:id="rId2" xr:uid="{3A81D3C6-192C-44AF-955B-516556A53AB4}"/>
    <hyperlink ref="H7" r:id="rId3" xr:uid="{28474BBF-2291-4927-8AF4-7703E509831D}"/>
    <hyperlink ref="H5" r:id="rId4" xr:uid="{5DE956B1-5487-4750-95C3-58353475B348}"/>
    <hyperlink ref="H6" r:id="rId5" xr:uid="{F7897D07-2C11-4F89-A1F8-C2D003CF450B}"/>
  </hyperlinks>
  <pageMargins left="0.7" right="0.7" top="0.75" bottom="0.75" header="0.3" footer="0.3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5862-5B09-48EC-8200-548899A23B48}">
  <sheetPr>
    <tabColor theme="5" tint="0.79998168889431442"/>
  </sheetPr>
  <dimension ref="A1:I172"/>
  <sheetViews>
    <sheetView zoomScale="110" zoomScaleNormal="110" workbookViewId="0">
      <selection activeCell="B17" sqref="B17"/>
    </sheetView>
  </sheetViews>
  <sheetFormatPr defaultRowHeight="14.4" x14ac:dyDescent="0.3"/>
  <cols>
    <col min="1" max="2" width="28.21875" style="210" customWidth="1"/>
    <col min="3" max="3" width="30.6640625" style="210" customWidth="1"/>
    <col min="4" max="4" width="8.88671875" style="237"/>
    <col min="5" max="5" width="26.88671875" style="210" customWidth="1"/>
    <col min="6" max="6" width="28" style="210" customWidth="1"/>
    <col min="7" max="7" width="27.77734375" style="210" customWidth="1"/>
    <col min="8" max="9" width="8.88671875" style="237"/>
  </cols>
  <sheetData>
    <row r="1" spans="1:9" s="27" customFormat="1" ht="28.2" customHeight="1" x14ac:dyDescent="0.3">
      <c r="A1" s="286" t="s">
        <v>486</v>
      </c>
      <c r="B1" s="286"/>
      <c r="C1" s="286"/>
      <c r="D1" s="286"/>
      <c r="E1" s="286"/>
      <c r="F1" s="286"/>
      <c r="G1" s="286"/>
      <c r="H1" s="237"/>
      <c r="I1" s="237"/>
    </row>
    <row r="2" spans="1:9" ht="34.799999999999997" customHeight="1" thickBot="1" x14ac:dyDescent="0.35">
      <c r="A2" s="284" t="s">
        <v>450</v>
      </c>
      <c r="B2" s="285"/>
      <c r="C2" s="240"/>
      <c r="D2" s="234"/>
      <c r="E2" s="251" t="s">
        <v>472</v>
      </c>
      <c r="F2" s="252"/>
      <c r="G2" s="250"/>
    </row>
    <row r="3" spans="1:9" ht="15" thickBot="1" x14ac:dyDescent="0.35">
      <c r="A3" s="241" t="s">
        <v>503</v>
      </c>
      <c r="B3" s="233" t="s">
        <v>451</v>
      </c>
      <c r="C3" s="242" t="s">
        <v>452</v>
      </c>
      <c r="D3" s="248"/>
      <c r="E3" s="241" t="s">
        <v>502</v>
      </c>
      <c r="F3" s="233" t="s">
        <v>451</v>
      </c>
      <c r="G3" s="242" t="s">
        <v>452</v>
      </c>
    </row>
    <row r="4" spans="1:9" ht="15" thickBot="1" x14ac:dyDescent="0.35">
      <c r="A4" s="243" t="s">
        <v>453</v>
      </c>
      <c r="B4" s="238" t="s">
        <v>440</v>
      </c>
      <c r="C4" s="244" t="s">
        <v>454</v>
      </c>
      <c r="D4" s="249"/>
      <c r="E4" s="243" t="s">
        <v>473</v>
      </c>
      <c r="F4" s="238" t="s">
        <v>440</v>
      </c>
      <c r="G4" s="244" t="s">
        <v>454</v>
      </c>
    </row>
    <row r="5" spans="1:9" ht="15" thickBot="1" x14ac:dyDescent="0.35">
      <c r="A5" s="243" t="s">
        <v>162</v>
      </c>
      <c r="B5" s="239">
        <v>0.15</v>
      </c>
      <c r="C5" s="244" t="s">
        <v>454</v>
      </c>
      <c r="D5" s="249"/>
      <c r="E5" s="243" t="s">
        <v>474</v>
      </c>
      <c r="F5" s="238" t="s">
        <v>475</v>
      </c>
      <c r="G5" s="244" t="s">
        <v>454</v>
      </c>
    </row>
    <row r="6" spans="1:9" ht="15" thickBot="1" x14ac:dyDescent="0.35">
      <c r="A6" s="243" t="s">
        <v>455</v>
      </c>
      <c r="B6" s="238" t="s">
        <v>441</v>
      </c>
      <c r="C6" s="244" t="s">
        <v>456</v>
      </c>
      <c r="D6" s="249"/>
      <c r="E6" s="243" t="s">
        <v>476</v>
      </c>
      <c r="F6" s="238" t="s">
        <v>445</v>
      </c>
      <c r="G6" s="244" t="s">
        <v>477</v>
      </c>
    </row>
    <row r="7" spans="1:9" ht="15" thickBot="1" x14ac:dyDescent="0.35">
      <c r="A7" s="243" t="s">
        <v>457</v>
      </c>
      <c r="B7" s="239">
        <v>0.3</v>
      </c>
      <c r="C7" s="244" t="s">
        <v>458</v>
      </c>
      <c r="D7" s="249"/>
      <c r="E7" s="243" t="s">
        <v>478</v>
      </c>
      <c r="F7" s="239">
        <v>0.11</v>
      </c>
      <c r="G7" s="244" t="s">
        <v>479</v>
      </c>
    </row>
    <row r="8" spans="1:9" ht="15" thickBot="1" x14ac:dyDescent="0.35">
      <c r="A8" s="243" t="s">
        <v>459</v>
      </c>
      <c r="B8" s="238" t="s">
        <v>442</v>
      </c>
      <c r="C8" s="244" t="s">
        <v>460</v>
      </c>
      <c r="D8" s="249"/>
      <c r="E8" s="243" t="s">
        <v>455</v>
      </c>
      <c r="F8" s="238" t="s">
        <v>446</v>
      </c>
      <c r="G8" s="244" t="s">
        <v>480</v>
      </c>
    </row>
    <row r="9" spans="1:9" ht="15" thickBot="1" x14ac:dyDescent="0.35">
      <c r="A9" s="243" t="s">
        <v>461</v>
      </c>
      <c r="B9" s="238" t="s">
        <v>443</v>
      </c>
      <c r="C9" s="244" t="s">
        <v>462</v>
      </c>
      <c r="D9" s="249"/>
      <c r="E9" s="243" t="s">
        <v>457</v>
      </c>
      <c r="F9" s="239">
        <v>0.2</v>
      </c>
      <c r="G9" s="244" t="s">
        <v>458</v>
      </c>
    </row>
    <row r="10" spans="1:9" ht="15" thickBot="1" x14ac:dyDescent="0.35">
      <c r="A10" s="243" t="s">
        <v>345</v>
      </c>
      <c r="B10" s="238" t="s">
        <v>444</v>
      </c>
      <c r="C10" s="244" t="s">
        <v>463</v>
      </c>
      <c r="D10" s="249"/>
      <c r="E10" s="243" t="s">
        <v>459</v>
      </c>
      <c r="F10" s="238" t="s">
        <v>447</v>
      </c>
      <c r="G10" s="244" t="s">
        <v>481</v>
      </c>
    </row>
    <row r="11" spans="1:9" ht="15" thickBot="1" x14ac:dyDescent="0.35">
      <c r="A11" s="243" t="s">
        <v>309</v>
      </c>
      <c r="B11" s="238" t="s">
        <v>464</v>
      </c>
      <c r="C11" s="244" t="s">
        <v>465</v>
      </c>
      <c r="D11" s="249"/>
      <c r="E11" s="243" t="s">
        <v>461</v>
      </c>
      <c r="F11" s="238" t="s">
        <v>448</v>
      </c>
      <c r="G11" s="244" t="s">
        <v>482</v>
      </c>
    </row>
    <row r="12" spans="1:9" ht="15" thickBot="1" x14ac:dyDescent="0.35">
      <c r="A12" s="243" t="s">
        <v>308</v>
      </c>
      <c r="B12" s="238" t="s">
        <v>466</v>
      </c>
      <c r="C12" s="244" t="s">
        <v>465</v>
      </c>
      <c r="D12" s="249"/>
      <c r="E12" s="243" t="s">
        <v>345</v>
      </c>
      <c r="F12" s="238" t="s">
        <v>449</v>
      </c>
      <c r="G12" s="244" t="s">
        <v>483</v>
      </c>
    </row>
    <row r="13" spans="1:9" ht="15" thickBot="1" x14ac:dyDescent="0.35">
      <c r="A13" s="243" t="s">
        <v>346</v>
      </c>
      <c r="B13" s="238" t="s">
        <v>467</v>
      </c>
      <c r="C13" s="244" t="s">
        <v>468</v>
      </c>
      <c r="D13" s="235"/>
      <c r="E13" s="243" t="s">
        <v>309</v>
      </c>
      <c r="F13" s="238" t="s">
        <v>464</v>
      </c>
      <c r="G13" s="244" t="s">
        <v>465</v>
      </c>
    </row>
    <row r="14" spans="1:9" ht="15" thickBot="1" x14ac:dyDescent="0.35">
      <c r="A14" s="243" t="s">
        <v>373</v>
      </c>
      <c r="B14" s="238" t="s">
        <v>469</v>
      </c>
      <c r="C14" s="244" t="s">
        <v>465</v>
      </c>
      <c r="D14" s="235"/>
      <c r="E14" s="243" t="s">
        <v>308</v>
      </c>
      <c r="F14" s="238" t="s">
        <v>466</v>
      </c>
      <c r="G14" s="244" t="s">
        <v>465</v>
      </c>
    </row>
    <row r="15" spans="1:9" ht="15" thickBot="1" x14ac:dyDescent="0.35">
      <c r="A15" s="245" t="s">
        <v>310</v>
      </c>
      <c r="B15" s="246" t="s">
        <v>470</v>
      </c>
      <c r="C15" s="247" t="s">
        <v>471</v>
      </c>
      <c r="D15" s="235"/>
      <c r="E15" s="243" t="s">
        <v>346</v>
      </c>
      <c r="F15" s="238" t="s">
        <v>484</v>
      </c>
      <c r="G15" s="244" t="s">
        <v>468</v>
      </c>
    </row>
    <row r="16" spans="1:9" ht="15" thickBot="1" x14ac:dyDescent="0.35">
      <c r="A16" s="236"/>
      <c r="B16" s="236"/>
      <c r="C16" s="236"/>
      <c r="D16" s="236"/>
      <c r="E16" s="243" t="s">
        <v>373</v>
      </c>
      <c r="F16" s="238" t="s">
        <v>469</v>
      </c>
      <c r="G16" s="244" t="s">
        <v>465</v>
      </c>
    </row>
    <row r="17" spans="1:9" x14ac:dyDescent="0.3">
      <c r="A17" s="236"/>
      <c r="B17" s="236"/>
      <c r="C17" s="236"/>
      <c r="D17" s="236"/>
      <c r="E17" s="245" t="s">
        <v>310</v>
      </c>
      <c r="F17" s="246" t="s">
        <v>485</v>
      </c>
      <c r="G17" s="247" t="s">
        <v>471</v>
      </c>
    </row>
    <row r="18" spans="1:9" s="27" customFormat="1" x14ac:dyDescent="0.3">
      <c r="A18" s="237"/>
      <c r="B18" s="237"/>
      <c r="C18" s="237"/>
      <c r="D18" s="237"/>
      <c r="E18" s="237"/>
      <c r="F18" s="237"/>
      <c r="G18" s="237"/>
      <c r="H18" s="237"/>
      <c r="I18" s="237"/>
    </row>
    <row r="19" spans="1:9" s="27" customFormat="1" x14ac:dyDescent="0.3">
      <c r="A19" s="237"/>
      <c r="B19" s="237"/>
      <c r="C19" s="237"/>
      <c r="D19" s="237"/>
      <c r="E19" s="237"/>
      <c r="F19" s="237"/>
      <c r="G19" s="237"/>
      <c r="H19" s="237"/>
      <c r="I19" s="237"/>
    </row>
    <row r="20" spans="1:9" s="27" customFormat="1" x14ac:dyDescent="0.3">
      <c r="A20" s="237"/>
      <c r="B20" s="237"/>
      <c r="C20" s="237"/>
      <c r="D20" s="237"/>
      <c r="E20" s="237"/>
      <c r="F20" s="237"/>
      <c r="G20" s="237"/>
      <c r="H20" s="237"/>
      <c r="I20" s="237"/>
    </row>
    <row r="21" spans="1:9" s="27" customFormat="1" x14ac:dyDescent="0.3">
      <c r="A21" s="237"/>
      <c r="B21" s="237"/>
      <c r="C21" s="237"/>
      <c r="D21" s="237"/>
      <c r="E21" s="237"/>
      <c r="F21" s="237"/>
      <c r="G21" s="237"/>
      <c r="H21" s="237"/>
      <c r="I21" s="237"/>
    </row>
    <row r="22" spans="1:9" s="27" customFormat="1" x14ac:dyDescent="0.3">
      <c r="A22" s="237"/>
      <c r="B22" s="237"/>
      <c r="C22" s="237"/>
      <c r="D22" s="237"/>
      <c r="E22" s="237"/>
      <c r="F22" s="237"/>
      <c r="G22" s="237"/>
      <c r="H22" s="237"/>
      <c r="I22" s="237"/>
    </row>
    <row r="23" spans="1:9" s="27" customFormat="1" x14ac:dyDescent="0.3">
      <c r="A23" s="237"/>
      <c r="B23" s="237"/>
      <c r="C23" s="237"/>
      <c r="D23" s="237"/>
      <c r="E23" s="237"/>
      <c r="F23" s="237"/>
      <c r="G23" s="237"/>
      <c r="H23" s="237"/>
      <c r="I23" s="237"/>
    </row>
    <row r="24" spans="1:9" s="27" customFormat="1" x14ac:dyDescent="0.3">
      <c r="A24" s="237"/>
      <c r="B24" s="237"/>
      <c r="C24" s="237"/>
      <c r="D24" s="237"/>
      <c r="E24" s="237"/>
      <c r="F24" s="237"/>
      <c r="G24" s="237"/>
      <c r="H24" s="237"/>
      <c r="I24" s="237"/>
    </row>
    <row r="25" spans="1:9" s="27" customFormat="1" x14ac:dyDescent="0.3">
      <c r="A25" s="237"/>
      <c r="B25" s="237"/>
      <c r="C25" s="237"/>
      <c r="D25" s="237"/>
      <c r="E25" s="237"/>
      <c r="F25" s="237"/>
      <c r="G25" s="237"/>
      <c r="H25" s="237"/>
      <c r="I25" s="237"/>
    </row>
    <row r="26" spans="1:9" s="27" customFormat="1" x14ac:dyDescent="0.3">
      <c r="A26" s="237"/>
      <c r="B26" s="237"/>
      <c r="C26" s="237"/>
      <c r="D26" s="237"/>
      <c r="E26" s="237"/>
      <c r="F26" s="237"/>
      <c r="G26" s="237"/>
      <c r="H26" s="237"/>
      <c r="I26" s="237"/>
    </row>
    <row r="27" spans="1:9" s="27" customFormat="1" x14ac:dyDescent="0.3">
      <c r="A27" s="237"/>
      <c r="B27" s="237"/>
      <c r="C27" s="237"/>
      <c r="D27" s="237"/>
      <c r="E27" s="237"/>
      <c r="F27" s="237"/>
      <c r="G27" s="237"/>
      <c r="H27" s="237"/>
      <c r="I27" s="237"/>
    </row>
    <row r="28" spans="1:9" s="27" customFormat="1" x14ac:dyDescent="0.3">
      <c r="A28" s="237"/>
      <c r="B28" s="237"/>
      <c r="C28" s="237"/>
      <c r="D28" s="237"/>
      <c r="E28" s="237"/>
      <c r="F28" s="237"/>
      <c r="G28" s="237"/>
      <c r="H28" s="237"/>
      <c r="I28" s="237"/>
    </row>
    <row r="29" spans="1:9" s="27" customFormat="1" x14ac:dyDescent="0.3">
      <c r="A29" s="237"/>
      <c r="B29" s="237"/>
      <c r="C29" s="237"/>
      <c r="D29" s="237"/>
      <c r="E29" s="237"/>
      <c r="F29" s="237"/>
      <c r="G29" s="237"/>
      <c r="H29" s="237"/>
      <c r="I29" s="237"/>
    </row>
    <row r="30" spans="1:9" s="27" customFormat="1" x14ac:dyDescent="0.3">
      <c r="A30" s="237"/>
      <c r="B30" s="237"/>
      <c r="C30" s="237"/>
      <c r="D30" s="237"/>
      <c r="E30" s="237"/>
      <c r="F30" s="237"/>
      <c r="G30" s="237"/>
      <c r="H30" s="237"/>
      <c r="I30" s="237"/>
    </row>
    <row r="31" spans="1:9" s="27" customFormat="1" x14ac:dyDescent="0.3">
      <c r="A31" s="237"/>
      <c r="B31" s="237"/>
      <c r="C31" s="237"/>
      <c r="D31" s="237"/>
      <c r="E31" s="237"/>
      <c r="F31" s="237"/>
      <c r="G31" s="237"/>
      <c r="H31" s="237"/>
      <c r="I31" s="237"/>
    </row>
    <row r="32" spans="1:9" s="27" customFormat="1" x14ac:dyDescent="0.3">
      <c r="A32" s="237"/>
      <c r="B32" s="237"/>
      <c r="C32" s="237"/>
      <c r="D32" s="237"/>
      <c r="E32" s="237"/>
      <c r="F32" s="237"/>
      <c r="G32" s="237"/>
      <c r="H32" s="237"/>
      <c r="I32" s="237"/>
    </row>
    <row r="33" spans="1:9" s="27" customFormat="1" x14ac:dyDescent="0.3">
      <c r="A33" s="237"/>
      <c r="B33" s="237"/>
      <c r="C33" s="237"/>
      <c r="D33" s="237"/>
      <c r="E33" s="237"/>
      <c r="F33" s="237"/>
      <c r="G33" s="237"/>
      <c r="H33" s="237"/>
      <c r="I33" s="237"/>
    </row>
    <row r="34" spans="1:9" s="27" customFormat="1" x14ac:dyDescent="0.3">
      <c r="A34" s="237"/>
      <c r="B34" s="237"/>
      <c r="C34" s="237"/>
      <c r="D34" s="237"/>
      <c r="E34" s="237"/>
      <c r="F34" s="237"/>
      <c r="G34" s="237"/>
      <c r="H34" s="237"/>
      <c r="I34" s="237"/>
    </row>
    <row r="35" spans="1:9" s="27" customFormat="1" x14ac:dyDescent="0.3">
      <c r="A35" s="237"/>
      <c r="B35" s="237"/>
      <c r="C35" s="237"/>
      <c r="D35" s="237"/>
      <c r="E35" s="237"/>
      <c r="F35" s="237"/>
      <c r="G35" s="237"/>
      <c r="H35" s="237"/>
      <c r="I35" s="237"/>
    </row>
    <row r="36" spans="1:9" s="27" customFormat="1" x14ac:dyDescent="0.3">
      <c r="A36" s="237"/>
      <c r="B36" s="237"/>
      <c r="C36" s="237"/>
      <c r="D36" s="237"/>
      <c r="E36" s="237"/>
      <c r="F36" s="237"/>
      <c r="G36" s="237"/>
      <c r="H36" s="237"/>
      <c r="I36" s="237"/>
    </row>
    <row r="37" spans="1:9" x14ac:dyDescent="0.3">
      <c r="A37" s="237"/>
      <c r="B37" s="237"/>
      <c r="C37" s="237"/>
    </row>
    <row r="38" spans="1:9" x14ac:dyDescent="0.3">
      <c r="A38" s="237"/>
      <c r="B38" s="237"/>
      <c r="C38" s="237"/>
    </row>
    <row r="39" spans="1:9" x14ac:dyDescent="0.3">
      <c r="A39" s="237"/>
      <c r="B39" s="237"/>
      <c r="C39" s="237"/>
    </row>
    <row r="40" spans="1:9" x14ac:dyDescent="0.3">
      <c r="A40" s="237"/>
      <c r="B40" s="237"/>
      <c r="C40" s="237"/>
    </row>
    <row r="41" spans="1:9" x14ac:dyDescent="0.3">
      <c r="A41" s="237"/>
      <c r="B41" s="237"/>
      <c r="C41" s="237"/>
    </row>
    <row r="42" spans="1:9" x14ac:dyDescent="0.3">
      <c r="A42" s="237"/>
      <c r="B42" s="237"/>
      <c r="C42" s="237"/>
    </row>
    <row r="43" spans="1:9" x14ac:dyDescent="0.3">
      <c r="A43" s="237"/>
      <c r="B43" s="237"/>
      <c r="C43" s="237"/>
    </row>
    <row r="44" spans="1:9" x14ac:dyDescent="0.3">
      <c r="A44" s="237"/>
      <c r="B44" s="237"/>
      <c r="C44" s="237"/>
    </row>
    <row r="45" spans="1:9" x14ac:dyDescent="0.3">
      <c r="A45" s="237"/>
      <c r="B45" s="237"/>
      <c r="C45" s="237"/>
    </row>
    <row r="46" spans="1:9" x14ac:dyDescent="0.3">
      <c r="A46" s="237"/>
      <c r="B46" s="237"/>
      <c r="C46" s="237"/>
    </row>
    <row r="47" spans="1:9" x14ac:dyDescent="0.3">
      <c r="A47" s="237"/>
      <c r="B47" s="237"/>
      <c r="C47" s="237"/>
    </row>
    <row r="48" spans="1:9" x14ac:dyDescent="0.3">
      <c r="A48" s="237"/>
      <c r="B48" s="237"/>
      <c r="C48" s="237"/>
    </row>
    <row r="49" spans="1:3" x14ac:dyDescent="0.3">
      <c r="A49" s="237"/>
      <c r="B49" s="237"/>
      <c r="C49" s="237"/>
    </row>
    <row r="50" spans="1:3" x14ac:dyDescent="0.3">
      <c r="A50" s="237"/>
      <c r="B50" s="237"/>
      <c r="C50" s="237"/>
    </row>
    <row r="51" spans="1:3" x14ac:dyDescent="0.3">
      <c r="A51" s="237"/>
      <c r="B51" s="237"/>
      <c r="C51" s="237"/>
    </row>
    <row r="52" spans="1:3" x14ac:dyDescent="0.3">
      <c r="A52" s="237"/>
      <c r="B52" s="237"/>
      <c r="C52" s="237"/>
    </row>
    <row r="53" spans="1:3" x14ac:dyDescent="0.3">
      <c r="A53" s="237"/>
      <c r="B53" s="237"/>
      <c r="C53" s="237"/>
    </row>
    <row r="54" spans="1:3" x14ac:dyDescent="0.3">
      <c r="A54" s="237"/>
      <c r="B54" s="237"/>
      <c r="C54" s="237"/>
    </row>
    <row r="55" spans="1:3" x14ac:dyDescent="0.3">
      <c r="A55" s="237"/>
      <c r="B55" s="237"/>
      <c r="C55" s="237"/>
    </row>
    <row r="56" spans="1:3" x14ac:dyDescent="0.3">
      <c r="A56" s="237"/>
      <c r="B56" s="237"/>
      <c r="C56" s="237"/>
    </row>
    <row r="57" spans="1:3" x14ac:dyDescent="0.3">
      <c r="A57" s="237"/>
      <c r="B57" s="237"/>
      <c r="C57" s="237"/>
    </row>
    <row r="58" spans="1:3" x14ac:dyDescent="0.3">
      <c r="A58" s="237"/>
      <c r="B58" s="237"/>
      <c r="C58" s="237"/>
    </row>
    <row r="59" spans="1:3" x14ac:dyDescent="0.3">
      <c r="A59" s="237"/>
      <c r="B59" s="237"/>
      <c r="C59" s="237"/>
    </row>
    <row r="60" spans="1:3" x14ac:dyDescent="0.3">
      <c r="A60" s="237"/>
      <c r="B60" s="237"/>
      <c r="C60" s="237"/>
    </row>
    <row r="61" spans="1:3" x14ac:dyDescent="0.3">
      <c r="A61" s="237"/>
      <c r="B61" s="237"/>
      <c r="C61" s="237"/>
    </row>
    <row r="62" spans="1:3" x14ac:dyDescent="0.3">
      <c r="A62" s="237"/>
      <c r="B62" s="237"/>
      <c r="C62" s="237"/>
    </row>
    <row r="63" spans="1:3" x14ac:dyDescent="0.3">
      <c r="A63" s="237"/>
      <c r="B63" s="237"/>
      <c r="C63" s="237"/>
    </row>
    <row r="64" spans="1:3" x14ac:dyDescent="0.3">
      <c r="A64" s="237"/>
      <c r="B64" s="237"/>
      <c r="C64" s="237"/>
    </row>
    <row r="65" spans="1:3" x14ac:dyDescent="0.3">
      <c r="A65" s="237"/>
      <c r="B65" s="237"/>
      <c r="C65" s="237"/>
    </row>
    <row r="66" spans="1:3" x14ac:dyDescent="0.3">
      <c r="A66" s="237"/>
      <c r="B66" s="237"/>
      <c r="C66" s="237"/>
    </row>
    <row r="67" spans="1:3" x14ac:dyDescent="0.3">
      <c r="A67" s="237"/>
      <c r="B67" s="237"/>
      <c r="C67" s="237"/>
    </row>
    <row r="68" spans="1:3" x14ac:dyDescent="0.3">
      <c r="A68" s="237"/>
      <c r="B68" s="237"/>
      <c r="C68" s="237"/>
    </row>
    <row r="69" spans="1:3" x14ac:dyDescent="0.3">
      <c r="A69" s="237"/>
      <c r="B69" s="237"/>
      <c r="C69" s="237"/>
    </row>
    <row r="70" spans="1:3" x14ac:dyDescent="0.3">
      <c r="A70" s="237"/>
      <c r="B70" s="237"/>
      <c r="C70" s="237"/>
    </row>
    <row r="71" spans="1:3" x14ac:dyDescent="0.3">
      <c r="A71" s="237"/>
      <c r="B71" s="237"/>
      <c r="C71" s="237"/>
    </row>
    <row r="72" spans="1:3" x14ac:dyDescent="0.3">
      <c r="A72" s="237"/>
      <c r="B72" s="237"/>
      <c r="C72" s="237"/>
    </row>
    <row r="73" spans="1:3" x14ac:dyDescent="0.3">
      <c r="A73" s="237"/>
      <c r="B73" s="237"/>
      <c r="C73" s="237"/>
    </row>
    <row r="74" spans="1:3" x14ac:dyDescent="0.3">
      <c r="A74" s="237"/>
      <c r="B74" s="237"/>
      <c r="C74" s="237"/>
    </row>
    <row r="75" spans="1:3" x14ac:dyDescent="0.3">
      <c r="A75" s="237"/>
      <c r="B75" s="237"/>
      <c r="C75" s="237"/>
    </row>
    <row r="76" spans="1:3" x14ac:dyDescent="0.3">
      <c r="A76" s="237"/>
      <c r="B76" s="237"/>
      <c r="C76" s="237"/>
    </row>
    <row r="77" spans="1:3" x14ac:dyDescent="0.3">
      <c r="A77" s="237"/>
      <c r="B77" s="237"/>
      <c r="C77" s="237"/>
    </row>
    <row r="78" spans="1:3" x14ac:dyDescent="0.3">
      <c r="A78" s="237"/>
      <c r="B78" s="237"/>
      <c r="C78" s="237"/>
    </row>
    <row r="79" spans="1:3" x14ac:dyDescent="0.3">
      <c r="A79" s="237"/>
      <c r="B79" s="237"/>
      <c r="C79" s="237"/>
    </row>
    <row r="80" spans="1:3" x14ac:dyDescent="0.3">
      <c r="A80" s="237"/>
      <c r="B80" s="237"/>
      <c r="C80" s="237"/>
    </row>
    <row r="81" spans="1:3" x14ac:dyDescent="0.3">
      <c r="A81" s="237"/>
      <c r="B81" s="237"/>
      <c r="C81" s="237"/>
    </row>
    <row r="82" spans="1:3" x14ac:dyDescent="0.3">
      <c r="A82" s="237"/>
      <c r="B82" s="237"/>
      <c r="C82" s="237"/>
    </row>
    <row r="83" spans="1:3" x14ac:dyDescent="0.3">
      <c r="A83" s="237"/>
      <c r="B83" s="237"/>
      <c r="C83" s="237"/>
    </row>
    <row r="84" spans="1:3" x14ac:dyDescent="0.3">
      <c r="A84" s="237"/>
      <c r="B84" s="237"/>
      <c r="C84" s="237"/>
    </row>
    <row r="85" spans="1:3" x14ac:dyDescent="0.3">
      <c r="A85" s="237"/>
      <c r="B85" s="237"/>
      <c r="C85" s="237"/>
    </row>
    <row r="86" spans="1:3" x14ac:dyDescent="0.3">
      <c r="A86" s="237"/>
      <c r="B86" s="237"/>
      <c r="C86" s="237"/>
    </row>
    <row r="87" spans="1:3" x14ac:dyDescent="0.3">
      <c r="A87" s="237"/>
      <c r="B87" s="237"/>
      <c r="C87" s="237"/>
    </row>
    <row r="88" spans="1:3" x14ac:dyDescent="0.3">
      <c r="A88" s="237"/>
      <c r="B88" s="237"/>
      <c r="C88" s="237"/>
    </row>
    <row r="89" spans="1:3" x14ac:dyDescent="0.3">
      <c r="A89" s="237"/>
      <c r="B89" s="237"/>
      <c r="C89" s="237"/>
    </row>
    <row r="90" spans="1:3" x14ac:dyDescent="0.3">
      <c r="A90" s="237"/>
      <c r="B90" s="237"/>
      <c r="C90" s="237"/>
    </row>
    <row r="91" spans="1:3" x14ac:dyDescent="0.3">
      <c r="A91" s="237"/>
      <c r="B91" s="237"/>
      <c r="C91" s="237"/>
    </row>
    <row r="92" spans="1:3" x14ac:dyDescent="0.3">
      <c r="A92" s="237"/>
      <c r="B92" s="237"/>
      <c r="C92" s="237"/>
    </row>
    <row r="93" spans="1:3" x14ac:dyDescent="0.3">
      <c r="A93" s="237"/>
      <c r="B93" s="237"/>
      <c r="C93" s="237"/>
    </row>
    <row r="94" spans="1:3" x14ac:dyDescent="0.3">
      <c r="A94" s="237"/>
      <c r="B94" s="237"/>
      <c r="C94" s="237"/>
    </row>
    <row r="95" spans="1:3" x14ac:dyDescent="0.3">
      <c r="A95" s="237"/>
      <c r="B95" s="237"/>
      <c r="C95" s="237"/>
    </row>
    <row r="96" spans="1:3" x14ac:dyDescent="0.3">
      <c r="A96" s="237"/>
      <c r="B96" s="237"/>
      <c r="C96" s="237"/>
    </row>
    <row r="97" spans="1:3" x14ac:dyDescent="0.3">
      <c r="A97" s="237"/>
      <c r="B97" s="237"/>
      <c r="C97" s="237"/>
    </row>
    <row r="98" spans="1:3" x14ac:dyDescent="0.3">
      <c r="A98" s="237"/>
      <c r="B98" s="237"/>
      <c r="C98" s="237"/>
    </row>
    <row r="99" spans="1:3" x14ac:dyDescent="0.3">
      <c r="A99" s="237"/>
      <c r="B99" s="237"/>
      <c r="C99" s="237"/>
    </row>
    <row r="100" spans="1:3" x14ac:dyDescent="0.3">
      <c r="A100" s="237"/>
      <c r="B100" s="237"/>
      <c r="C100" s="237"/>
    </row>
    <row r="101" spans="1:3" x14ac:dyDescent="0.3">
      <c r="A101" s="237"/>
      <c r="B101" s="237"/>
      <c r="C101" s="237"/>
    </row>
    <row r="102" spans="1:3" x14ac:dyDescent="0.3">
      <c r="A102" s="237"/>
      <c r="B102" s="237"/>
      <c r="C102" s="237"/>
    </row>
    <row r="103" spans="1:3" x14ac:dyDescent="0.3">
      <c r="A103" s="237"/>
      <c r="B103" s="237"/>
      <c r="C103" s="237"/>
    </row>
    <row r="104" spans="1:3" x14ac:dyDescent="0.3">
      <c r="A104" s="237"/>
      <c r="B104" s="237"/>
      <c r="C104" s="237"/>
    </row>
    <row r="105" spans="1:3" x14ac:dyDescent="0.3">
      <c r="A105" s="237"/>
      <c r="B105" s="237"/>
      <c r="C105" s="237"/>
    </row>
    <row r="106" spans="1:3" x14ac:dyDescent="0.3">
      <c r="A106" s="237"/>
      <c r="B106" s="237"/>
      <c r="C106" s="237"/>
    </row>
    <row r="107" spans="1:3" x14ac:dyDescent="0.3">
      <c r="A107" s="237"/>
      <c r="B107" s="237"/>
      <c r="C107" s="237"/>
    </row>
    <row r="108" spans="1:3" x14ac:dyDescent="0.3">
      <c r="A108" s="237"/>
      <c r="B108" s="237"/>
      <c r="C108" s="237"/>
    </row>
    <row r="109" spans="1:3" x14ac:dyDescent="0.3">
      <c r="A109" s="237"/>
      <c r="B109" s="237"/>
      <c r="C109" s="237"/>
    </row>
    <row r="110" spans="1:3" x14ac:dyDescent="0.3">
      <c r="A110" s="237"/>
      <c r="B110" s="237"/>
      <c r="C110" s="237"/>
    </row>
    <row r="111" spans="1:3" x14ac:dyDescent="0.3">
      <c r="A111" s="237"/>
      <c r="B111" s="237"/>
      <c r="C111" s="237"/>
    </row>
    <row r="112" spans="1:3" x14ac:dyDescent="0.3">
      <c r="A112" s="237"/>
      <c r="B112" s="237"/>
      <c r="C112" s="237"/>
    </row>
    <row r="113" spans="1:3" x14ac:dyDescent="0.3">
      <c r="A113" s="237"/>
      <c r="B113" s="237"/>
      <c r="C113" s="237"/>
    </row>
    <row r="114" spans="1:3" x14ac:dyDescent="0.3">
      <c r="A114" s="237"/>
      <c r="B114" s="237"/>
      <c r="C114" s="237"/>
    </row>
    <row r="115" spans="1:3" x14ac:dyDescent="0.3">
      <c r="A115" s="237"/>
      <c r="B115" s="237"/>
      <c r="C115" s="237"/>
    </row>
    <row r="116" spans="1:3" x14ac:dyDescent="0.3">
      <c r="A116" s="237"/>
      <c r="B116" s="237"/>
      <c r="C116" s="237"/>
    </row>
    <row r="117" spans="1:3" x14ac:dyDescent="0.3">
      <c r="A117" s="237"/>
      <c r="B117" s="237"/>
      <c r="C117" s="237"/>
    </row>
    <row r="118" spans="1:3" x14ac:dyDescent="0.3">
      <c r="A118" s="237"/>
      <c r="B118" s="237"/>
      <c r="C118" s="237"/>
    </row>
    <row r="119" spans="1:3" x14ac:dyDescent="0.3">
      <c r="A119" s="237"/>
      <c r="B119" s="237"/>
      <c r="C119" s="237"/>
    </row>
    <row r="120" spans="1:3" x14ac:dyDescent="0.3">
      <c r="A120" s="237"/>
      <c r="B120" s="237"/>
      <c r="C120" s="237"/>
    </row>
    <row r="121" spans="1:3" x14ac:dyDescent="0.3">
      <c r="A121" s="237"/>
      <c r="B121" s="237"/>
      <c r="C121" s="237"/>
    </row>
    <row r="122" spans="1:3" x14ac:dyDescent="0.3">
      <c r="A122" s="237"/>
      <c r="B122" s="237"/>
      <c r="C122" s="237"/>
    </row>
    <row r="123" spans="1:3" x14ac:dyDescent="0.3">
      <c r="A123" s="237"/>
      <c r="B123" s="237"/>
      <c r="C123" s="237"/>
    </row>
    <row r="124" spans="1:3" x14ac:dyDescent="0.3">
      <c r="A124" s="237"/>
      <c r="B124" s="237"/>
      <c r="C124" s="237"/>
    </row>
    <row r="125" spans="1:3" x14ac:dyDescent="0.3">
      <c r="A125" s="237"/>
      <c r="B125" s="237"/>
      <c r="C125" s="237"/>
    </row>
    <row r="126" spans="1:3" x14ac:dyDescent="0.3">
      <c r="A126" s="237"/>
      <c r="B126" s="237"/>
      <c r="C126" s="237"/>
    </row>
    <row r="127" spans="1:3" x14ac:dyDescent="0.3">
      <c r="A127" s="237"/>
      <c r="B127" s="237"/>
      <c r="C127" s="237"/>
    </row>
    <row r="128" spans="1:3" x14ac:dyDescent="0.3">
      <c r="A128" s="237"/>
      <c r="B128" s="237"/>
      <c r="C128" s="237"/>
    </row>
    <row r="129" spans="1:3" x14ac:dyDescent="0.3">
      <c r="A129" s="237"/>
      <c r="B129" s="237"/>
      <c r="C129" s="237"/>
    </row>
    <row r="130" spans="1:3" x14ac:dyDescent="0.3">
      <c r="A130" s="237"/>
      <c r="B130" s="237"/>
      <c r="C130" s="237"/>
    </row>
    <row r="131" spans="1:3" x14ac:dyDescent="0.3">
      <c r="A131" s="237"/>
      <c r="B131" s="237"/>
      <c r="C131" s="237"/>
    </row>
    <row r="132" spans="1:3" x14ac:dyDescent="0.3">
      <c r="A132" s="237"/>
      <c r="B132" s="237"/>
      <c r="C132" s="237"/>
    </row>
    <row r="133" spans="1:3" x14ac:dyDescent="0.3">
      <c r="A133" s="237"/>
      <c r="B133" s="237"/>
      <c r="C133" s="237"/>
    </row>
    <row r="134" spans="1:3" x14ac:dyDescent="0.3">
      <c r="A134" s="237"/>
      <c r="B134" s="237"/>
      <c r="C134" s="237"/>
    </row>
    <row r="135" spans="1:3" x14ac:dyDescent="0.3">
      <c r="A135" s="237"/>
      <c r="B135" s="237"/>
      <c r="C135" s="237"/>
    </row>
    <row r="136" spans="1:3" x14ac:dyDescent="0.3">
      <c r="A136" s="237"/>
      <c r="B136" s="237"/>
      <c r="C136" s="237"/>
    </row>
    <row r="137" spans="1:3" x14ac:dyDescent="0.3">
      <c r="A137" s="237"/>
      <c r="B137" s="237"/>
      <c r="C137" s="237"/>
    </row>
    <row r="138" spans="1:3" x14ac:dyDescent="0.3">
      <c r="A138" s="237"/>
      <c r="B138" s="237"/>
      <c r="C138" s="237"/>
    </row>
    <row r="139" spans="1:3" x14ac:dyDescent="0.3">
      <c r="A139" s="237"/>
      <c r="B139" s="237"/>
      <c r="C139" s="237"/>
    </row>
    <row r="140" spans="1:3" x14ac:dyDescent="0.3">
      <c r="A140" s="237"/>
      <c r="B140" s="237"/>
      <c r="C140" s="237"/>
    </row>
    <row r="141" spans="1:3" x14ac:dyDescent="0.3">
      <c r="A141" s="237"/>
      <c r="B141" s="237"/>
      <c r="C141" s="237"/>
    </row>
    <row r="142" spans="1:3" x14ac:dyDescent="0.3">
      <c r="A142" s="237"/>
      <c r="B142" s="237"/>
      <c r="C142" s="237"/>
    </row>
    <row r="143" spans="1:3" x14ac:dyDescent="0.3">
      <c r="A143" s="237"/>
      <c r="B143" s="237"/>
      <c r="C143" s="237"/>
    </row>
    <row r="144" spans="1:3" x14ac:dyDescent="0.3">
      <c r="A144" s="237"/>
      <c r="B144" s="237"/>
      <c r="C144" s="237"/>
    </row>
    <row r="145" spans="1:3" x14ac:dyDescent="0.3">
      <c r="A145" s="237"/>
      <c r="B145" s="237"/>
      <c r="C145" s="237"/>
    </row>
    <row r="146" spans="1:3" x14ac:dyDescent="0.3">
      <c r="A146" s="237"/>
      <c r="B146" s="237"/>
      <c r="C146" s="237"/>
    </row>
    <row r="147" spans="1:3" x14ac:dyDescent="0.3">
      <c r="A147" s="237"/>
      <c r="B147" s="237"/>
      <c r="C147" s="237"/>
    </row>
    <row r="148" spans="1:3" x14ac:dyDescent="0.3">
      <c r="A148" s="237"/>
      <c r="B148" s="237"/>
      <c r="C148" s="237"/>
    </row>
    <row r="149" spans="1:3" x14ac:dyDescent="0.3">
      <c r="A149" s="237"/>
      <c r="B149" s="237"/>
      <c r="C149" s="237"/>
    </row>
    <row r="150" spans="1:3" x14ac:dyDescent="0.3">
      <c r="A150" s="237"/>
      <c r="B150" s="237"/>
      <c r="C150" s="237"/>
    </row>
    <row r="151" spans="1:3" x14ac:dyDescent="0.3">
      <c r="A151" s="237"/>
      <c r="B151" s="237"/>
      <c r="C151" s="237"/>
    </row>
    <row r="152" spans="1:3" x14ac:dyDescent="0.3">
      <c r="A152" s="237"/>
      <c r="B152" s="237"/>
      <c r="C152" s="237"/>
    </row>
    <row r="153" spans="1:3" x14ac:dyDescent="0.3">
      <c r="A153" s="237"/>
      <c r="B153" s="237"/>
      <c r="C153" s="237"/>
    </row>
    <row r="154" spans="1:3" x14ac:dyDescent="0.3">
      <c r="A154" s="237"/>
      <c r="B154" s="237"/>
      <c r="C154" s="237"/>
    </row>
    <row r="155" spans="1:3" x14ac:dyDescent="0.3">
      <c r="A155" s="237"/>
      <c r="B155" s="237"/>
      <c r="C155" s="237"/>
    </row>
    <row r="156" spans="1:3" x14ac:dyDescent="0.3">
      <c r="A156" s="237"/>
      <c r="B156" s="237"/>
      <c r="C156" s="237"/>
    </row>
    <row r="157" spans="1:3" x14ac:dyDescent="0.3">
      <c r="A157" s="237"/>
      <c r="B157" s="237"/>
      <c r="C157" s="237"/>
    </row>
    <row r="158" spans="1:3" x14ac:dyDescent="0.3">
      <c r="A158" s="237"/>
      <c r="B158" s="237"/>
      <c r="C158" s="237"/>
    </row>
    <row r="159" spans="1:3" x14ac:dyDescent="0.3">
      <c r="A159" s="237"/>
      <c r="B159" s="237"/>
      <c r="C159" s="237"/>
    </row>
    <row r="160" spans="1:3" x14ac:dyDescent="0.3">
      <c r="A160" s="237"/>
      <c r="B160" s="237"/>
      <c r="C160" s="237"/>
    </row>
    <row r="161" spans="1:3" x14ac:dyDescent="0.3">
      <c r="A161" s="237"/>
      <c r="B161" s="237"/>
      <c r="C161" s="237"/>
    </row>
    <row r="162" spans="1:3" x14ac:dyDescent="0.3">
      <c r="A162" s="237"/>
      <c r="B162" s="237"/>
      <c r="C162" s="237"/>
    </row>
    <row r="163" spans="1:3" x14ac:dyDescent="0.3">
      <c r="A163" s="237"/>
      <c r="B163" s="237"/>
      <c r="C163" s="237"/>
    </row>
    <row r="164" spans="1:3" x14ac:dyDescent="0.3">
      <c r="A164" s="237"/>
      <c r="B164" s="237"/>
      <c r="C164" s="237"/>
    </row>
    <row r="165" spans="1:3" x14ac:dyDescent="0.3">
      <c r="A165" s="237"/>
      <c r="B165" s="237"/>
      <c r="C165" s="237"/>
    </row>
    <row r="166" spans="1:3" x14ac:dyDescent="0.3">
      <c r="A166" s="237"/>
      <c r="B166" s="237"/>
      <c r="C166" s="237"/>
    </row>
    <row r="167" spans="1:3" x14ac:dyDescent="0.3">
      <c r="A167" s="237"/>
      <c r="B167" s="237"/>
      <c r="C167" s="237"/>
    </row>
    <row r="168" spans="1:3" x14ac:dyDescent="0.3">
      <c r="A168" s="237"/>
      <c r="B168" s="237"/>
      <c r="C168" s="237"/>
    </row>
    <row r="169" spans="1:3" x14ac:dyDescent="0.3">
      <c r="A169" s="237"/>
      <c r="B169" s="237"/>
      <c r="C169" s="237"/>
    </row>
    <row r="170" spans="1:3" x14ac:dyDescent="0.3">
      <c r="A170" s="237"/>
      <c r="B170" s="237"/>
      <c r="C170" s="237"/>
    </row>
    <row r="171" spans="1:3" x14ac:dyDescent="0.3">
      <c r="A171" s="237"/>
      <c r="B171" s="237"/>
      <c r="C171" s="237"/>
    </row>
    <row r="172" spans="1:3" x14ac:dyDescent="0.3">
      <c r="A172" s="237"/>
      <c r="B172" s="237"/>
      <c r="C172" s="237"/>
    </row>
  </sheetData>
  <mergeCells count="2">
    <mergeCell ref="A2:B2"/>
    <mergeCell ref="A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BB6B-F514-4024-8508-5D3FABF9A4D0}">
  <sheetPr>
    <tabColor theme="5" tint="0.79998168889431442"/>
  </sheetPr>
  <dimension ref="B3:G23"/>
  <sheetViews>
    <sheetView tabSelected="1" zoomScale="90" zoomScaleNormal="90" workbookViewId="0">
      <selection activeCell="I13" sqref="I13"/>
    </sheetView>
  </sheetViews>
  <sheetFormatPr defaultRowHeight="14.4" x14ac:dyDescent="0.3"/>
  <cols>
    <col min="2" max="2" width="48.109375" customWidth="1"/>
    <col min="3" max="3" width="24.109375" customWidth="1"/>
    <col min="4" max="4" width="19.5546875" customWidth="1"/>
    <col min="5" max="5" width="24.109375" customWidth="1"/>
    <col min="6" max="6" width="16.5546875" bestFit="1" customWidth="1"/>
  </cols>
  <sheetData>
    <row r="3" spans="2:7" ht="15" thickBot="1" x14ac:dyDescent="0.35">
      <c r="B3" s="260" t="s">
        <v>277</v>
      </c>
      <c r="C3" s="261" t="s">
        <v>490</v>
      </c>
      <c r="D3" s="261" t="s">
        <v>491</v>
      </c>
      <c r="E3" s="262" t="s">
        <v>492</v>
      </c>
      <c r="F3" s="263" t="s">
        <v>496</v>
      </c>
    </row>
    <row r="4" spans="2:7" ht="15" thickBot="1" x14ac:dyDescent="0.35">
      <c r="B4" s="254" t="s">
        <v>489</v>
      </c>
      <c r="C4" s="258">
        <v>40456</v>
      </c>
      <c r="D4" s="258">
        <v>41213</v>
      </c>
      <c r="E4" s="258">
        <v>107</v>
      </c>
      <c r="F4" s="264">
        <v>30622</v>
      </c>
    </row>
    <row r="5" spans="2:7" ht="15" thickBot="1" x14ac:dyDescent="0.35">
      <c r="B5" s="254" t="s">
        <v>497</v>
      </c>
      <c r="C5" s="258">
        <v>12724</v>
      </c>
      <c r="D5" s="258">
        <v>13482</v>
      </c>
      <c r="E5" s="258">
        <v>35.04</v>
      </c>
      <c r="F5" s="264">
        <v>30622</v>
      </c>
    </row>
    <row r="6" spans="2:7" ht="15" thickBot="1" x14ac:dyDescent="0.35">
      <c r="B6" s="254" t="s">
        <v>498</v>
      </c>
      <c r="C6" s="258">
        <v>61299</v>
      </c>
      <c r="D6" s="258">
        <v>62057</v>
      </c>
      <c r="E6" s="258">
        <v>161.30000000000001</v>
      </c>
      <c r="F6" s="264">
        <v>30622</v>
      </c>
    </row>
    <row r="7" spans="2:7" ht="15" thickBot="1" x14ac:dyDescent="0.35">
      <c r="B7" s="254" t="s">
        <v>439</v>
      </c>
      <c r="C7" s="258">
        <v>22191</v>
      </c>
      <c r="D7" s="258">
        <v>22949</v>
      </c>
      <c r="E7" s="258">
        <v>59.64</v>
      </c>
      <c r="F7" s="264">
        <v>30622</v>
      </c>
    </row>
    <row r="8" spans="2:7" ht="15" thickBot="1" x14ac:dyDescent="0.35">
      <c r="B8" s="254" t="s">
        <v>493</v>
      </c>
      <c r="C8" s="258">
        <v>774000</v>
      </c>
      <c r="D8" s="258">
        <v>78158</v>
      </c>
      <c r="E8" s="258">
        <v>203.2</v>
      </c>
      <c r="F8" s="264">
        <v>30622</v>
      </c>
      <c r="G8" s="253" t="s">
        <v>487</v>
      </c>
    </row>
    <row r="9" spans="2:7" x14ac:dyDescent="0.3">
      <c r="B9" s="255" t="s">
        <v>494</v>
      </c>
      <c r="C9" s="265">
        <v>137000</v>
      </c>
      <c r="D9" s="265">
        <v>137758</v>
      </c>
      <c r="E9" s="265">
        <v>358.1</v>
      </c>
      <c r="F9" s="266">
        <v>30622</v>
      </c>
      <c r="G9" s="253" t="s">
        <v>488</v>
      </c>
    </row>
    <row r="11" spans="2:7" x14ac:dyDescent="0.3">
      <c r="B11" s="259" t="s">
        <v>495</v>
      </c>
    </row>
    <row r="13" spans="2:7" x14ac:dyDescent="0.3">
      <c r="B13" t="s">
        <v>278</v>
      </c>
    </row>
    <row r="14" spans="2:7" x14ac:dyDescent="0.3">
      <c r="B14" t="s">
        <v>279</v>
      </c>
    </row>
    <row r="16" spans="2:7" ht="15" thickBot="1" x14ac:dyDescent="0.35"/>
    <row r="17" spans="2:6" ht="15" thickBot="1" x14ac:dyDescent="0.35">
      <c r="B17" s="267" t="s">
        <v>277</v>
      </c>
      <c r="C17" s="268" t="s">
        <v>499</v>
      </c>
      <c r="D17" s="268" t="s">
        <v>500</v>
      </c>
      <c r="E17" s="269" t="s">
        <v>492</v>
      </c>
      <c r="F17" s="270" t="s">
        <v>501</v>
      </c>
    </row>
    <row r="18" spans="2:6" ht="15" thickBot="1" x14ac:dyDescent="0.35">
      <c r="B18" s="271" t="s">
        <v>489</v>
      </c>
      <c r="C18" s="257">
        <v>40.456000000000003</v>
      </c>
      <c r="D18" s="257">
        <v>41.213000000000001</v>
      </c>
      <c r="E18" s="257">
        <v>107</v>
      </c>
      <c r="F18" s="272">
        <v>30.622</v>
      </c>
    </row>
    <row r="19" spans="2:6" ht="15" thickBot="1" x14ac:dyDescent="0.35">
      <c r="B19" s="271" t="s">
        <v>497</v>
      </c>
      <c r="C19" s="257">
        <v>12.724</v>
      </c>
      <c r="D19" s="257">
        <v>13.481999999999999</v>
      </c>
      <c r="E19" s="257">
        <v>35.04</v>
      </c>
      <c r="F19" s="272">
        <v>30.622</v>
      </c>
    </row>
    <row r="20" spans="2:6" ht="15" thickBot="1" x14ac:dyDescent="0.35">
      <c r="B20" s="271" t="s">
        <v>498</v>
      </c>
      <c r="C20" s="257">
        <v>61.298999999999999</v>
      </c>
      <c r="D20" s="257">
        <v>62.057000000000002</v>
      </c>
      <c r="E20" s="257">
        <v>161.30000000000001</v>
      </c>
      <c r="F20" s="272">
        <v>30.622</v>
      </c>
    </row>
    <row r="21" spans="2:6" ht="15" thickBot="1" x14ac:dyDescent="0.35">
      <c r="B21" s="271" t="s">
        <v>439</v>
      </c>
      <c r="C21" s="257">
        <v>22.190999999999999</v>
      </c>
      <c r="D21" s="257">
        <v>22.949000000000002</v>
      </c>
      <c r="E21" s="257">
        <v>59.64</v>
      </c>
      <c r="F21" s="272">
        <v>30.622</v>
      </c>
    </row>
    <row r="22" spans="2:6" ht="15" thickBot="1" x14ac:dyDescent="0.35">
      <c r="B22" s="271" t="s">
        <v>493</v>
      </c>
      <c r="C22" s="257">
        <v>774</v>
      </c>
      <c r="D22" s="257">
        <v>78.158000000000001</v>
      </c>
      <c r="E22" s="257">
        <v>203.2</v>
      </c>
      <c r="F22" s="272">
        <v>30.622</v>
      </c>
    </row>
    <row r="23" spans="2:6" ht="15" thickBot="1" x14ac:dyDescent="0.35">
      <c r="B23" s="273" t="s">
        <v>494</v>
      </c>
      <c r="C23" s="274">
        <v>137</v>
      </c>
      <c r="D23" s="274">
        <v>137.75800000000001</v>
      </c>
      <c r="E23" s="274">
        <v>358.1</v>
      </c>
      <c r="F23" s="275">
        <v>30.622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Dexcom financial information</vt:lpstr>
      <vt:lpstr>Dexcom financial info + figures</vt:lpstr>
      <vt:lpstr>Valuation assumptions</vt:lpstr>
      <vt:lpstr>Valuation - Base</vt:lpstr>
      <vt:lpstr>Valuation Bear</vt:lpstr>
      <vt:lpstr>Valuation Bull</vt:lpstr>
      <vt:lpstr>Valuation summary</vt:lpstr>
      <vt:lpstr>Sensitivity analysis</vt:lpstr>
      <vt:lpstr>Valuation Multiples</vt:lpstr>
      <vt:lpstr>Market &amp; Industry</vt:lpstr>
      <vt:lpstr>Market Opportunity Analysis</vt:lpstr>
      <vt:lpstr>Conclusions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Pojat 2017</dc:creator>
  <cp:lastModifiedBy>Anne Meriluoto</cp:lastModifiedBy>
  <dcterms:created xsi:type="dcterms:W3CDTF">2026-09-08T10:53:06Z</dcterms:created>
  <dcterms:modified xsi:type="dcterms:W3CDTF">2026-10-29T21:40:45Z</dcterms:modified>
</cp:coreProperties>
</file>